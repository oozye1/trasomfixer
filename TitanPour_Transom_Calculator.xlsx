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d Grid" sheetId="1" r:id="rId1"/>
    <sheet name="Area &amp; Weight" sheetId="2" r:id="rId2"/>
    <sheet name="Mix Calculator" sheetId="3" r:id="rId3"/>
    <sheet name="Referenc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cols>
    <col min="1" max="1" width="28.83203125" customWidth="1"/>
    <col min="2" max="2" width="14.83203125" customWidth="1"/>
    <col min="3" max="3" width="8.83203125" customWidth="1"/>
    <col min="4" max="4" width="3.83203125" customWidth="1"/>
    <col min="5" max="5" width="24.83203125" customWidth="1"/>
    <col min="6" max="6" width="28.83203125" customWidth="1"/>
    <col min="7" max="7" width="14.83203125" customWidth="1"/>
    <col min="8" max="8" width="8.83203125" customWidth="1"/>
  </cols>
  <sheetData>
    <row r="1">
      <c r="A1" t="str">
        <v>TitanPour — Rod Grid Calculator</v>
      </c>
    </row>
    <row r="2">
      <c r="A2" t="str">
        <v/>
      </c>
    </row>
    <row r="3">
      <c r="A3" t="str">
        <v>ROD GRID PARAMETERS</v>
      </c>
      <c r="B3" t="str">
        <v/>
      </c>
      <c r="C3" t="str">
        <v/>
      </c>
      <c r="D3" t="str">
        <v/>
      </c>
      <c r="E3" t="str">
        <v>RESULTS</v>
      </c>
    </row>
    <row r="4">
      <c r="A4" t="str">
        <v/>
      </c>
    </row>
    <row r="5">
      <c r="A5" t="str">
        <v>Input</v>
      </c>
      <c r="B5" t="str">
        <v>Value</v>
      </c>
      <c r="C5" t="str">
        <v>Unit</v>
      </c>
      <c r="D5" t="str">
        <v/>
      </c>
      <c r="E5" t="str">
        <v>Output</v>
      </c>
      <c r="F5" t="str">
        <v>Formula</v>
      </c>
      <c r="G5">
        <f>B11/COS(RADIANS(B13))</f>
      </c>
      <c r="H5" t="str">
        <v>Unit</v>
      </c>
    </row>
    <row r="6">
      <c r="A6" t="str">
        <v>Rod spacing (H &amp; V)</v>
      </c>
      <c r="B6">
        <v>70</v>
      </c>
      <c r="C6" t="str">
        <v>mm</v>
      </c>
      <c r="D6" t="str">
        <v/>
      </c>
      <c r="E6" t="str">
        <v>Slope height</v>
      </c>
      <c r="F6" t="str">
        <v>=B11/COS(RADIANS(B13))</v>
      </c>
      <c r="G6">
        <f>G5</f>
      </c>
      <c r="H6" t="str">
        <v>mm</v>
      </c>
    </row>
    <row r="7">
      <c r="A7" t="str">
        <v>Horizontal rod diameter</v>
      </c>
      <c r="B7">
        <v>6</v>
      </c>
      <c r="C7" t="str">
        <v>mm</v>
      </c>
      <c r="D7" t="str">
        <v/>
      </c>
      <c r="E7" t="str">
        <v>Horizontal rods</v>
      </c>
      <c r="F7" t="str">
        <v>=FLOOR(G5/B5,1)+1</v>
      </c>
      <c r="G7">
        <f>FLOOR(G5/B5,1)+1</f>
      </c>
      <c r="H7" t="str">
        <v>rods</v>
      </c>
    </row>
    <row r="8">
      <c r="A8" t="str">
        <v>Vertical rod diameter</v>
      </c>
      <c r="B8">
        <v>6</v>
      </c>
      <c r="C8" t="str">
        <v>mm</v>
      </c>
      <c r="D8" t="str">
        <v/>
      </c>
      <c r="E8" t="str">
        <v>Vertical rods</v>
      </c>
      <c r="F8" t="str">
        <v>=FLOOR(B10/B5,1)+1</v>
      </c>
      <c r="G8">
        <f>FLOOR(B10/B5,1)+1</f>
      </c>
      <c r="H8" t="str">
        <v>rods</v>
      </c>
    </row>
    <row r="9">
      <c r="A9" t="str">
        <v>Outer shell thickness</v>
      </c>
      <c r="B9">
        <v>6</v>
      </c>
      <c r="C9" t="str">
        <v>mm</v>
      </c>
      <c r="D9" t="str">
        <v/>
      </c>
      <c r="E9" t="str">
        <v>H rod length (each)</v>
      </c>
      <c r="F9" t="str">
        <v>=B10</v>
      </c>
      <c r="G9">
        <f>B10</f>
      </c>
      <c r="H9" t="str">
        <v>mm</v>
      </c>
    </row>
    <row r="10">
      <c r="A10" t="str">
        <v>Transom width</v>
      </c>
      <c r="B10">
        <v>1800</v>
      </c>
      <c r="C10" t="str">
        <v>mm</v>
      </c>
      <c r="D10" t="str">
        <v/>
      </c>
      <c r="E10" t="str">
        <v>V rod length (on slope)</v>
      </c>
      <c r="F10" t="str">
        <v>=G5</v>
      </c>
      <c r="G10">
        <f>G5</f>
      </c>
      <c r="H10" t="str">
        <v>mm</v>
      </c>
    </row>
    <row r="11">
      <c r="A11" t="str">
        <v>Transom height (vertical)</v>
      </c>
      <c r="B11">
        <v>508</v>
      </c>
      <c r="C11" t="str">
        <v>mm</v>
      </c>
      <c r="D11" t="str">
        <v/>
      </c>
      <c r="E11" t="str">
        <v>Total H rod length</v>
      </c>
      <c r="F11" t="str">
        <v>=G7*G9/1000</v>
      </c>
      <c r="G11">
        <f>G7*G9/1000</f>
      </c>
      <c r="H11" t="str">
        <v>m</v>
      </c>
    </row>
    <row r="12">
      <c r="A12" t="str">
        <v>Thickness (total)</v>
      </c>
      <c r="B12">
        <v>50</v>
      </c>
      <c r="C12" t="str">
        <v>mm</v>
      </c>
      <c r="D12" t="str">
        <v/>
      </c>
      <c r="E12" t="str">
        <v>Total V rod length</v>
      </c>
      <c r="F12" t="str">
        <v>=G8*G10/1000</v>
      </c>
      <c r="G12">
        <f>G8*G10/1000</f>
      </c>
      <c r="H12" t="str">
        <v>m</v>
      </c>
    </row>
    <row r="13">
      <c r="A13" t="str">
        <v>Rake angle</v>
      </c>
      <c r="B13">
        <v>20</v>
      </c>
      <c r="C13" t="str">
        <v>°</v>
      </c>
      <c r="D13" t="str">
        <v/>
      </c>
      <c r="E13" t="str">
        <v>TOTAL ROD LENGTH</v>
      </c>
      <c r="F13" t="str">
        <v>=G11+G12</v>
      </c>
      <c r="G13">
        <f>G11+G12</f>
      </c>
      <c r="H13" t="str">
        <v>metres</v>
      </c>
    </row>
    <row r="14">
      <c r="A14" t="str">
        <v>Min resin cover</v>
      </c>
      <c r="B14">
        <v>10</v>
      </c>
      <c r="C14" t="str">
        <v>mm</v>
      </c>
      <c r="D14" t="str">
        <v/>
      </c>
      <c r="E14" t="str">
        <v>Total rod count</v>
      </c>
      <c r="F14" t="str">
        <v>=G7+G8</v>
      </c>
      <c r="G14">
        <f>G7+G8</f>
      </c>
      <c r="H14" t="str">
        <v>rods</v>
      </c>
    </row>
    <row r="15">
      <c r="A15" t="str">
        <v/>
      </c>
    </row>
    <row r="16">
      <c r="A16" t="str">
        <v>COVER &amp; FIT CHECK</v>
      </c>
    </row>
    <row r="17">
      <c r="A17" t="str">
        <v/>
      </c>
    </row>
    <row r="18">
      <c r="A18" t="str">
        <v/>
      </c>
      <c r="B18" t="str">
        <v>Value</v>
      </c>
      <c r="C18" t="str">
        <v>Unit</v>
      </c>
      <c r="D18" t="str">
        <v/>
      </c>
      <c r="E18" t="str">
        <v>Status</v>
      </c>
    </row>
    <row r="19">
      <c r="A19" t="str">
        <v>Pour depth (thickness - shell)</v>
      </c>
      <c r="B19" t="str">
        <v>=B12-B8</v>
      </c>
      <c r="C19" t="str">
        <v>mm</v>
      </c>
    </row>
    <row r="20">
      <c r="A20" t="str">
        <v/>
      </c>
    </row>
    <row r="21">
      <c r="A21" t="str">
        <v>Horizontal ø cover</v>
      </c>
      <c r="B21" t="str">
        <v>=(B19-B6)/2</v>
      </c>
      <c r="C21" t="str">
        <v>mm</v>
      </c>
      <c r="D21" t="str">
        <v/>
      </c>
      <c r="E21" t="str">
        <v>=IF(B21&gt;=B14,"OK","TOO TIGHT")</v>
      </c>
    </row>
    <row r="22">
      <c r="A22" t="str">
        <v>Vertical ø cover</v>
      </c>
      <c r="B22" t="str">
        <v>=(B19-B7)/2</v>
      </c>
      <c r="C22" t="str">
        <v>mm</v>
      </c>
      <c r="D22" t="str">
        <v/>
      </c>
      <c r="E22" t="str">
        <v>=IF(B22&gt;=B14,"OK","TOO TIGHT")</v>
      </c>
    </row>
    <row r="23">
      <c r="A23" t="str">
        <v>Stacked height (H+V)</v>
      </c>
      <c r="B23" t="str">
        <v>=B6+B7</v>
      </c>
      <c r="C23" t="str">
        <v>mm</v>
      </c>
    </row>
    <row r="24">
      <c r="A24" t="str">
        <v>Cover at crossing</v>
      </c>
      <c r="B24" t="str">
        <v>=(B19-B23)/2</v>
      </c>
      <c r="C24" t="str">
        <v>mm</v>
      </c>
      <c r="D24" t="str">
        <v/>
      </c>
      <c r="E24" t="str">
        <v>=IF(B24&gt;=B14,"FITS","WON'T FIT")</v>
      </c>
    </row>
    <row r="25">
      <c r="A25" t="str">
        <v>Min thickness needed</v>
      </c>
      <c r="B25" t="str">
        <v>=B23+B14*2+B8</v>
      </c>
      <c r="C25" t="str">
        <v>mm</v>
      </c>
      <c r="D25" t="str">
        <v/>
      </c>
      <c r="E25" t="str">
        <v>(including shell)</v>
      </c>
    </row>
    <row r="26">
      <c r="A26" t="str">
        <v/>
      </c>
    </row>
    <row r="27">
      <c r="A27" t="str">
        <v>ROD DISPLACEMENT</v>
      </c>
    </row>
    <row r="28">
      <c r="A28" t="str">
        <v/>
      </c>
    </row>
    <row r="29">
      <c r="A29" t="str">
        <v>H rod cross-section area</v>
      </c>
      <c r="B29" t="str">
        <v>=PI()*(B6/2)^2</v>
      </c>
      <c r="C29" t="str">
        <v>mm²</v>
      </c>
    </row>
    <row r="30">
      <c r="A30" t="str">
        <v>V rod cross-section area</v>
      </c>
      <c r="B30" t="str">
        <v>=PI()*(B7/2)^2</v>
      </c>
      <c r="C30" t="str">
        <v>mm²</v>
      </c>
    </row>
    <row r="31">
      <c r="A31" t="str">
        <v>H rod total volume</v>
      </c>
      <c r="B31" t="str">
        <v>=B29*G7*G9</v>
      </c>
      <c r="C31" t="str">
        <v>mm³</v>
      </c>
    </row>
    <row r="32">
      <c r="A32" t="str">
        <v>V rod total volume</v>
      </c>
      <c r="B32" t="str">
        <v>=B30*G8*G10</v>
      </c>
      <c r="C32" t="str">
        <v>mm³</v>
      </c>
    </row>
    <row r="33">
      <c r="A33" t="str">
        <v>Total rod volume</v>
      </c>
      <c r="B33" t="str">
        <v>=(B31+B32)/1000000</v>
      </c>
      <c r="C33" t="str">
        <v>litres</v>
      </c>
    </row>
  </sheetData>
  <ignoredErrors>
    <ignoredError numberStoredAsText="1" sqref="A1:H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28.83203125" customWidth="1"/>
    <col min="2" max="2" width="14.83203125" customWidth="1"/>
    <col min="3" max="3" width="10.83203125" customWidth="1"/>
    <col min="4" max="4" width="3.83203125" customWidth="1"/>
    <col min="5" max="5" width="36.83203125" customWidth="1"/>
  </cols>
  <sheetData>
    <row r="1">
      <c r="A1" t="str">
        <v>TitanPour — Area &amp; Weight Calculator</v>
      </c>
    </row>
    <row r="2">
      <c r="A2" t="str">
        <v/>
      </c>
    </row>
    <row r="3">
      <c r="A3" t="str">
        <v>TRANSOM DIMENSIONS</v>
      </c>
    </row>
    <row r="4">
      <c r="A4" t="str">
        <v/>
      </c>
    </row>
    <row r="5">
      <c r="A5" t="str">
        <v>Input</v>
      </c>
      <c r="B5" t="str">
        <v>Value</v>
      </c>
      <c r="C5" t="str">
        <v>Unit</v>
      </c>
    </row>
    <row r="6">
      <c r="A6" t="str">
        <v>Width (beam at transom)</v>
      </c>
      <c r="B6">
        <v>1800</v>
      </c>
      <c r="C6" t="str">
        <v>mm</v>
      </c>
    </row>
    <row r="7">
      <c r="A7" t="str">
        <v>Height (vertical)</v>
      </c>
      <c r="B7">
        <v>508</v>
      </c>
      <c r="C7" t="str">
        <v>mm</v>
      </c>
    </row>
    <row r="8">
      <c r="A8" t="str">
        <v>Rake / Slope angle</v>
      </c>
      <c r="B8">
        <v>20</v>
      </c>
      <c r="C8" t="str">
        <v>°</v>
      </c>
    </row>
    <row r="9">
      <c r="A9" t="str">
        <v>Total thickness</v>
      </c>
      <c r="B9">
        <v>50</v>
      </c>
      <c r="C9" t="str">
        <v>mm</v>
      </c>
    </row>
    <row r="10">
      <c r="A10" t="str">
        <v>Outer shell</v>
      </c>
      <c r="B10">
        <v>6</v>
      </c>
      <c r="C10" t="str">
        <v>mm</v>
      </c>
    </row>
    <row r="11">
      <c r="A11" t="str">
        <v>Material density</v>
      </c>
      <c r="B11">
        <v>1550</v>
      </c>
      <c r="C11" t="str">
        <v>kg/m³</v>
      </c>
      <c r="D11" t="str">
        <v/>
      </c>
      <c r="E11" t="str">
        <v>TitanPour Resin System</v>
      </c>
    </row>
    <row r="12">
      <c r="A12" t="str">
        <v>Wastage allowance</v>
      </c>
      <c r="B12">
        <v>10</v>
      </c>
      <c r="C12" t="str">
        <v>%</v>
      </c>
    </row>
    <row r="13">
      <c r="A13" t="str">
        <v/>
      </c>
    </row>
    <row r="14">
      <c r="A14" t="str">
        <v>ENGINE CUTOUT</v>
      </c>
    </row>
    <row r="15">
      <c r="A15" t="str">
        <v/>
      </c>
    </row>
    <row r="16">
      <c r="A16" t="str">
        <v>Cutout width (each)</v>
      </c>
      <c r="B16">
        <v>660</v>
      </c>
      <c r="C16" t="str">
        <v>mm</v>
      </c>
    </row>
    <row r="17">
      <c r="A17" t="str">
        <v>Cutout height (face-on)</v>
      </c>
      <c r="B17">
        <v>380</v>
      </c>
      <c r="C17" t="str">
        <v>mm</v>
      </c>
    </row>
    <row r="18">
      <c r="A18" t="str">
        <v>Number of cutouts</v>
      </c>
      <c r="B18">
        <v>1</v>
      </c>
      <c r="C18" t="str">
        <v/>
      </c>
    </row>
    <row r="19">
      <c r="A19" t="str">
        <v/>
      </c>
    </row>
    <row r="20">
      <c r="A20" t="str">
        <v>CALCULATED RESULTS</v>
      </c>
      <c r="B20" t="str">
        <v/>
      </c>
      <c r="C20" t="str">
        <v/>
      </c>
      <c r="D20" t="str">
        <v/>
      </c>
      <c r="E20" t="str">
        <v>Formula</v>
      </c>
    </row>
    <row r="21">
      <c r="A21" t="str">
        <v/>
      </c>
    </row>
    <row r="22">
      <c r="A22" t="str">
        <v>Slope height</v>
      </c>
      <c r="B22" t="str">
        <v>=B7/COS(RADIANS(B8))</v>
      </c>
      <c r="C22" t="str">
        <v>mm</v>
      </c>
      <c r="D22" t="str">
        <v/>
      </c>
      <c r="E22" t="str">
        <v>= height / cos(angle)</v>
      </c>
    </row>
    <row r="23">
      <c r="A23" t="str">
        <v>Cutout slope height</v>
      </c>
      <c r="B23" t="str">
        <v>=B17/COS(RADIANS(B8))</v>
      </c>
      <c r="C23" t="str">
        <v>mm</v>
      </c>
      <c r="D23" t="str">
        <v/>
      </c>
      <c r="E23" t="str">
        <v>= cutout height / cos(angle)</v>
      </c>
    </row>
    <row r="24">
      <c r="A24" t="str">
        <v/>
      </c>
    </row>
    <row r="25">
      <c r="A25" t="str">
        <v>Gross panel area</v>
      </c>
      <c r="B25" t="str">
        <v>=B6*B22/1000000</v>
      </c>
      <c r="C25" t="str">
        <v>m²</v>
      </c>
      <c r="D25" t="str">
        <v/>
      </c>
      <c r="E25" t="str">
        <v>= width × slope height</v>
      </c>
    </row>
    <row r="26">
      <c r="A26" t="str">
        <v>Single cutout area</v>
      </c>
      <c r="B26" t="str">
        <v>=B16*B23/1000000</v>
      </c>
      <c r="C26" t="str">
        <v>m²</v>
      </c>
      <c r="D26" t="str">
        <v/>
      </c>
      <c r="E26" t="str">
        <v>= cutout width × cutout slope height</v>
      </c>
    </row>
    <row r="27">
      <c r="A27" t="str">
        <v>Total cutout area</v>
      </c>
      <c r="B27" t="str">
        <v>=B26*B18</v>
      </c>
      <c r="C27" t="str">
        <v>m²</v>
      </c>
      <c r="D27" t="str">
        <v/>
      </c>
      <c r="E27" t="str">
        <v>= single cutout × count</v>
      </c>
    </row>
    <row r="28">
      <c r="A28" t="str">
        <v>Net panel area</v>
      </c>
      <c r="B28" t="str">
        <v>=B25-B27</v>
      </c>
      <c r="C28" t="str">
        <v>m²</v>
      </c>
      <c r="D28" t="str">
        <v/>
      </c>
      <c r="E28" t="str">
        <v>= gross - cutouts</v>
      </c>
    </row>
    <row r="29">
      <c r="A29" t="str">
        <v/>
      </c>
    </row>
    <row r="30">
      <c r="A30" t="str">
        <v>Panel volume (cavity)</v>
      </c>
      <c r="B30" t="str">
        <v>=B28*B9/1000</v>
      </c>
      <c r="C30" t="str">
        <v>litres</v>
      </c>
      <c r="D30" t="str">
        <v/>
      </c>
      <c r="E30" t="str">
        <v>= net area × thickness (in litres)</v>
      </c>
    </row>
    <row r="31">
      <c r="A31" t="str">
        <v>Pour depth</v>
      </c>
      <c r="B31" t="str">
        <v>=B9-B10</v>
      </c>
      <c r="C31" t="str">
        <v>mm</v>
      </c>
      <c r="D31" t="str">
        <v/>
      </c>
      <c r="E31" t="str">
        <v>= thickness - shell</v>
      </c>
    </row>
    <row r="32">
      <c r="A32" t="str">
        <v/>
      </c>
    </row>
    <row r="33">
      <c r="A33" t="str">
        <v>Rod displacement</v>
      </c>
      <c r="B33" t="str">
        <v/>
      </c>
      <c r="C33" t="str">
        <v>litres</v>
      </c>
      <c r="D33" t="str">
        <v/>
      </c>
      <c r="E33" t="str">
        <v>(from Rod Grid sheet)</v>
      </c>
    </row>
    <row r="34">
      <c r="A34" t="str">
        <v>Pour volume (minus rods)</v>
      </c>
      <c r="B34" t="str">
        <v>=B30-B33</v>
      </c>
      <c r="C34" t="str">
        <v>litres</v>
      </c>
      <c r="D34" t="str">
        <v/>
      </c>
      <c r="E34" t="str">
        <v>= cavity - rod displacement</v>
      </c>
    </row>
    <row r="35">
      <c r="A35" t="str">
        <v>Pour + wastage</v>
      </c>
      <c r="B35" t="str">
        <v>=B34*(1+B12/100)</v>
      </c>
      <c r="C35" t="str">
        <v>litres</v>
      </c>
      <c r="D35" t="str">
        <v/>
      </c>
      <c r="E35" t="str">
        <v>= pour × (1 + wastage%)</v>
      </c>
    </row>
    <row r="36">
      <c r="A36" t="str">
        <v/>
      </c>
    </row>
    <row r="37">
      <c r="A37" t="str">
        <v>Finished weight</v>
      </c>
      <c r="B37" t="str">
        <v>=B30/1000*B11</v>
      </c>
      <c r="C37" t="str">
        <v>kg</v>
      </c>
      <c r="D37" t="str">
        <v/>
      </c>
      <c r="E37" t="str">
        <v>= volume(m³) × density</v>
      </c>
    </row>
    <row r="38">
      <c r="A38" t="str">
        <v>GSM (surface weight)</v>
      </c>
      <c r="B38" t="str">
        <v>=B9/1000*B11*1000</v>
      </c>
      <c r="C38" t="str">
        <v>g/m²</v>
      </c>
      <c r="D38" t="str">
        <v/>
      </c>
      <c r="E38" t="str">
        <v>= thickness(m) × density × 1000</v>
      </c>
    </row>
  </sheetData>
  <ignoredErrors>
    <ignoredError numberStoredAsText="1" sqref="A1:E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cols>
    <col min="1" max="1" width="24.83203125" customWidth="1"/>
    <col min="2" max="2" width="20.83203125" customWidth="1"/>
    <col min="3" max="3" width="16.83203125" customWidth="1"/>
    <col min="4" max="4" width="16.83203125" customWidth="1"/>
    <col min="5" max="5" width="40.83203125" customWidth="1"/>
  </cols>
  <sheetData>
    <row r="1">
      <c r="A1" t="str">
        <v>TitanPour — Mix Calculator</v>
      </c>
    </row>
    <row r="2">
      <c r="A2" t="str">
        <v/>
      </c>
    </row>
    <row r="3">
      <c r="A3" t="str">
        <v>BATCH SIZE</v>
      </c>
    </row>
    <row r="4">
      <c r="A4" t="str">
        <v/>
      </c>
    </row>
    <row r="5">
      <c r="A5" t="str">
        <v>Input</v>
      </c>
      <c r="B5" t="str">
        <v>Value</v>
      </c>
      <c r="C5" t="str">
        <v>Unit</v>
      </c>
    </row>
    <row r="6">
      <c r="A6" t="str">
        <v>Total batch weight</v>
      </c>
      <c r="B6">
        <v>1000</v>
      </c>
      <c r="C6" t="str">
        <v>kg</v>
      </c>
    </row>
    <row r="7">
      <c r="A7" t="str">
        <v>Ambient temperature</v>
      </c>
      <c r="B7">
        <v>20</v>
      </c>
      <c r="C7" t="str">
        <v>°C</v>
      </c>
      <c r="D7" t="str">
        <v/>
      </c>
      <c r="E7" t="str">
        <v>(enter current temp or use weather data)</v>
      </c>
    </row>
    <row r="8">
      <c r="A8" t="str">
        <v/>
      </c>
    </row>
    <row r="9">
      <c r="A9" t="str">
        <v>MIX BREAKDOWN</v>
      </c>
    </row>
    <row r="10">
      <c r="A10" t="str">
        <v/>
      </c>
    </row>
    <row r="11">
      <c r="A11" t="str">
        <v>Component</v>
      </c>
      <c r="B11" t="str">
        <v>Fraction</v>
      </c>
      <c r="C11" t="str">
        <v>Mass (kg)</v>
      </c>
      <c r="D11" t="str">
        <v/>
      </c>
      <c r="E11" t="str">
        <v>Notes</v>
      </c>
    </row>
    <row r="12">
      <c r="A12" t="str">
        <v>Resin (reactive)</v>
      </c>
      <c r="B12" t="str">
        <v>58%</v>
      </c>
      <c r="C12" t="str">
        <v>=B6*0.58</v>
      </c>
      <c r="D12" t="str">
        <v/>
      </c>
      <c r="E12" t="str">
        <v>Crystic VE671-03 — the only reactive component</v>
      </c>
    </row>
    <row r="13">
      <c r="A13" t="str">
        <v>Talc filler</v>
      </c>
      <c r="B13" t="str">
        <v>30%</v>
      </c>
      <c r="C13" t="str">
        <v>=B6*0.30</v>
      </c>
      <c r="D13" t="str">
        <v/>
      </c>
      <c r="E13" t="str">
        <v>Inert — heat sink, does not react</v>
      </c>
    </row>
    <row r="14">
      <c r="A14" t="str">
        <v>Glass fibre</v>
      </c>
      <c r="B14" t="str">
        <v>10%</v>
      </c>
      <c r="C14" t="str">
        <v>=B6*0.10</v>
      </c>
      <c r="D14" t="str">
        <v/>
      </c>
      <c r="E14" t="str">
        <v>Inert — structural reinforcement</v>
      </c>
    </row>
    <row r="15">
      <c r="A15" t="str">
        <v>Catalyst + retarder</v>
      </c>
      <c r="B15" t="str">
        <v>~2%</v>
      </c>
      <c r="C15" t="str">
        <v>=B6*0.02</v>
      </c>
      <c r="D15" t="str">
        <v/>
      </c>
      <c r="E15" t="str">
        <v>Trigonox 239 + gel retarder</v>
      </c>
    </row>
    <row r="16">
      <c r="A16" t="str">
        <v/>
      </c>
    </row>
    <row r="17">
      <c r="A17" t="str">
        <v>CATALYST — TRIGONOX 239</v>
      </c>
    </row>
    <row r="18">
      <c r="A18" t="str">
        <v/>
      </c>
    </row>
    <row r="19">
      <c r="A19" t="str">
        <v/>
      </c>
      <c r="B19" t="str">
        <v>% of Resin</v>
      </c>
      <c r="C19" t="str">
        <v>% of Mix</v>
      </c>
      <c r="D19" t="str">
        <v>kg to Weigh</v>
      </c>
      <c r="E19" t="str">
        <v>Temp Range</v>
      </c>
    </row>
    <row r="20">
      <c r="A20" t="str">
        <v>Level 1</v>
      </c>
      <c r="B20" t="str">
        <v>1.2%</v>
      </c>
      <c r="C20" t="str">
        <v>=C12*0.012/B6*100&amp;"%"</v>
      </c>
      <c r="D20" t="str">
        <v>=C12*0.012</v>
      </c>
      <c r="E20" t="str">
        <v>&gt; 26°C (hot)</v>
      </c>
    </row>
    <row r="21">
      <c r="A21" t="str">
        <v>Level 2</v>
      </c>
      <c r="B21" t="str">
        <v>1.5%</v>
      </c>
      <c r="C21" t="str">
        <v>=C12*0.015/B6*100&amp;"%"</v>
      </c>
      <c r="D21" t="str">
        <v>=C12*0.015</v>
      </c>
      <c r="E21" t="str">
        <v>18–26°C (normal)</v>
      </c>
    </row>
    <row r="22">
      <c r="A22" t="str">
        <v>Level 3</v>
      </c>
      <c r="B22" t="str">
        <v>2.0%</v>
      </c>
      <c r="C22" t="str">
        <v>=C12*0.020/B6*100&amp;"%"</v>
      </c>
      <c r="D22" t="str">
        <v>=C12*0.020</v>
      </c>
      <c r="E22" t="str">
        <v>&lt; 18°C (cold)</v>
      </c>
    </row>
    <row r="23">
      <c r="A23" t="str">
        <v/>
      </c>
    </row>
    <row r="24">
      <c r="A24" t="str">
        <v>Recommended</v>
      </c>
      <c r="B24" t="str">
        <v>=IF(B7&gt;26,"1.2%",IF(B7&gt;=18,"1.5%","2.0%"))</v>
      </c>
      <c r="C24" t="str">
        <v/>
      </c>
      <c r="D24" t="str">
        <v>=IF(B7&gt;26,D20,IF(B7&gt;=18,D21,D22))</v>
      </c>
    </row>
    <row r="25">
      <c r="A25" t="str">
        <v/>
      </c>
    </row>
    <row r="26">
      <c r="A26" t="str">
        <v>RETARDER</v>
      </c>
    </row>
    <row r="27">
      <c r="A27" t="str">
        <v/>
      </c>
    </row>
    <row r="28">
      <c r="A28" t="str">
        <v>Dose (0.025% of resin)</v>
      </c>
      <c r="B28" t="str">
        <v>=C12*0.00025</v>
      </c>
      <c r="C28" t="str">
        <v>kg</v>
      </c>
    </row>
    <row r="29">
      <c r="A29" t="str">
        <v>In grams</v>
      </c>
      <c r="B29" t="str">
        <v>=B28*1000</v>
      </c>
      <c r="C29" t="str">
        <v>grams</v>
      </c>
    </row>
    <row r="30">
      <c r="A30" t="str">
        <v/>
      </c>
    </row>
    <row r="31">
      <c r="A31" t="str">
        <v>THE FORMULA</v>
      </c>
    </row>
    <row r="32">
      <c r="A32" t="str">
        <v/>
      </c>
    </row>
    <row r="33">
      <c r="A33" t="str">
        <v>Step 1:</v>
      </c>
      <c r="B33" t="str">
        <v>Batch weight × 0.58 = resin mass</v>
      </c>
      <c r="C33" t="str">
        <v/>
      </c>
      <c r="D33" t="str">
        <v>=B6&amp;" × 0.58 = "&amp;TEXT(C12,"0.0")&amp;" kg"</v>
      </c>
    </row>
    <row r="34">
      <c r="A34" t="str">
        <v>Step 2:</v>
      </c>
      <c r="B34" t="str">
        <v>Resin mass × catalyst % = catalyst</v>
      </c>
      <c r="C34" t="str">
        <v/>
      </c>
      <c r="D34" t="str">
        <v>=TEXT(C12,"0.0")&amp;" × "&amp;B24&amp;" = "&amp;TEXT(D24,"0.00")&amp;" kg"</v>
      </c>
    </row>
    <row r="35">
      <c r="A35" t="str">
        <v>Step 3:</v>
      </c>
      <c r="B35" t="str">
        <v>Resin mass × 0.00025 = retarder</v>
      </c>
      <c r="C35" t="str">
        <v/>
      </c>
      <c r="D35" t="str">
        <v>=TEXT(C12,"0.0")&amp;" × 0.00025 = "&amp;TEXT(B28*1000,"0")&amp;" grams"</v>
      </c>
    </row>
    <row r="36">
      <c r="A36" t="str">
        <v/>
      </c>
    </row>
    <row r="37">
      <c r="A37" t="str">
        <v>⚠ CRITICAL WARNING</v>
      </c>
    </row>
    <row r="38">
      <c r="A38" t="str">
        <v>Catalyst % applies to RESIN FRACTION ONLY (58% of batch), NEVER the total batch weight.</v>
      </c>
    </row>
    <row r="39">
      <c r="A39" t="str">
        <v/>
      </c>
    </row>
    <row r="40">
      <c r="A40" t="str">
        <v>Wrong (full batch):</v>
      </c>
      <c r="B40" t="str">
        <v>=TEXT(B6*IF(B7&gt;26,0.012,IF(B7&gt;=18,0.015,0.020)),"0.00")&amp;" kg"</v>
      </c>
      <c r="C40" t="str">
        <v/>
      </c>
      <c r="D40" t="str">
        <v>← DANGEROUS: nearly double the correct dose</v>
      </c>
    </row>
    <row r="41">
      <c r="A41" t="str">
        <v>Correct (resin only):</v>
      </c>
      <c r="B41" t="str">
        <v>=TEXT(D24,"0.00")&amp;" kg"</v>
      </c>
      <c r="C41" t="str">
        <v/>
      </c>
      <c r="D41" t="str">
        <v>← This is the right amount</v>
      </c>
    </row>
  </sheetData>
  <ignoredErrors>
    <ignoredError numberStoredAsText="1" sqref="A1:E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36.83203125" customWidth="1"/>
    <col min="2" max="2" width="50.83203125" customWidth="1"/>
    <col min="3" max="3" width="16.83203125" customWidth="1"/>
    <col min="4" max="4" width="16.83203125" customWidth="1"/>
  </cols>
  <sheetData>
    <row r="1">
      <c r="A1" t="str">
        <v>TitanPour — Quick Reference &amp; Formulas</v>
      </c>
    </row>
    <row r="2">
      <c r="A2" t="str">
        <v/>
      </c>
    </row>
    <row r="3">
      <c r="A3" t="str">
        <v>ENGINEERING FORMULAS</v>
      </c>
    </row>
    <row r="4">
      <c r="A4" t="str">
        <v/>
      </c>
    </row>
    <row r="5">
      <c r="A5" t="str">
        <v>Calculation</v>
      </c>
      <c r="B5" t="str">
        <v>Formula</v>
      </c>
      <c r="C5" t="str">
        <v>Notes</v>
      </c>
    </row>
    <row r="6">
      <c r="A6" t="str">
        <v>Slope Height</v>
      </c>
      <c r="B6" t="str">
        <v>= Vertical Height / cos(Rake Angle)</v>
      </c>
      <c r="C6" t="str">
        <v>Converts face-on height to actual surface length</v>
      </c>
    </row>
    <row r="7">
      <c r="A7" t="str">
        <v>Gross Area</v>
      </c>
      <c r="B7" t="str">
        <v>= Width × Slope Height</v>
      </c>
      <c r="C7" t="str">
        <v>Full panel surface area on the raked plane</v>
      </c>
    </row>
    <row r="8">
      <c r="A8" t="str">
        <v>Cutout Area</v>
      </c>
      <c r="B8" t="str">
        <v>= Cutout Width × (Cutout Height / cos(Angle)) × Count</v>
      </c>
      <c r="C8" t="str">
        <v>Engine cutouts measured face-on, converted to slope</v>
      </c>
    </row>
    <row r="9">
      <c r="A9" t="str">
        <v>Net Area</v>
      </c>
      <c r="B9" t="str">
        <v>= Gross Area − Cutout Area</v>
      </c>
      <c r="C9" t="str">
        <v>Material surface area</v>
      </c>
    </row>
    <row r="10">
      <c r="A10" t="str">
        <v>Volume</v>
      </c>
      <c r="B10" t="str">
        <v>= Net Area × Thickness</v>
      </c>
      <c r="C10" t="str">
        <v>Thickness normal to surface</v>
      </c>
    </row>
    <row r="11">
      <c r="A11" t="str">
        <v>Weight</v>
      </c>
      <c r="B11" t="str">
        <v>= Volume × Material Density</v>
      </c>
      <c r="C11" t="str">
        <v/>
      </c>
    </row>
    <row r="12">
      <c r="A12" t="str">
        <v>Pour Volume</v>
      </c>
      <c r="B12" t="str">
        <v>= Cavity Volume − Rod Displacement</v>
      </c>
      <c r="C12" t="str">
        <v>Actual liquid to pour</v>
      </c>
    </row>
    <row r="13">
      <c r="A13" t="str">
        <v>Rod Displacement</v>
      </c>
      <c r="B13" t="str">
        <v>= π × (d/2)² × total rod length</v>
      </c>
      <c r="C13" t="str">
        <v>Volume occupied by reinforcement rods</v>
      </c>
    </row>
    <row r="14">
      <c r="A14" t="str">
        <v>Resin Mass</v>
      </c>
      <c r="B14" t="str">
        <v>= Batch Weight × 0.58</v>
      </c>
      <c r="C14" t="str">
        <v>Only 58% of mix is reactive resin</v>
      </c>
    </row>
    <row r="15">
      <c r="A15" t="str">
        <v>Catalyst (kg)</v>
      </c>
      <c r="B15" t="str">
        <v>= Resin Mass × Catalyst %</v>
      </c>
      <c r="C15" t="str">
        <v>% applies to resin, NOT total batch</v>
      </c>
    </row>
    <row r="16">
      <c r="A16" t="str">
        <v>Retarder (kg)</v>
      </c>
      <c r="B16" t="str">
        <v>= Resin Mass × 0.00025</v>
      </c>
      <c r="C16" t="str">
        <v>0.025% of resin fraction</v>
      </c>
    </row>
    <row r="17">
      <c r="A17" t="str">
        <v>H Rods</v>
      </c>
      <c r="B17" t="str">
        <v>= floor(Slope Height / Spacing) + 1</v>
      </c>
      <c r="C17" t="str">
        <v>Fencepost formula</v>
      </c>
    </row>
    <row r="18">
      <c r="A18" t="str">
        <v>V Rods</v>
      </c>
      <c r="B18" t="str">
        <v>= floor(Width / Spacing) + 1</v>
      </c>
      <c r="C18" t="str">
        <v/>
      </c>
    </row>
    <row r="19">
      <c r="A19" t="str">
        <v>Pour Depth</v>
      </c>
      <c r="B19" t="str">
        <v>= Total Thickness − Shell Thickness</v>
      </c>
      <c r="C19" t="str">
        <v>Space available for the pour</v>
      </c>
    </row>
    <row r="20">
      <c r="A20" t="str">
        <v>Single Rod Cover</v>
      </c>
      <c r="B20" t="str">
        <v>= (Pour Depth − Rod Diameter) / 2</v>
      </c>
      <c r="C20" t="str">
        <v>Resin either side of a single rod</v>
      </c>
    </row>
    <row r="21">
      <c r="A21" t="str">
        <v>Stacked Cover</v>
      </c>
      <c r="B21" t="str">
        <v>= (Pour Depth − H Dia − V Dia) / 2</v>
      </c>
      <c r="C21" t="str">
        <v>At H/V rod crossing points</v>
      </c>
    </row>
    <row r="22">
      <c r="A22" t="str">
        <v/>
      </c>
    </row>
    <row r="23">
      <c r="A23" t="str">
        <v>CATALYST QUICK LOOKUP (per 1000kg batch)</v>
      </c>
    </row>
    <row r="24">
      <c r="A24" t="str">
        <v/>
      </c>
    </row>
    <row r="25">
      <c r="A25" t="str">
        <v>% of Resin</v>
      </c>
      <c r="B25" t="str">
        <v>% of Mix</v>
      </c>
      <c r="C25" t="str">
        <v>kg to Weigh</v>
      </c>
      <c r="D25" t="str">
        <v>Temp Range</v>
      </c>
    </row>
    <row r="26">
      <c r="A26" t="str">
        <v>1.2%</v>
      </c>
      <c r="B26" t="str">
        <v>0.696%</v>
      </c>
      <c r="C26">
        <v>6.96</v>
      </c>
      <c r="D26" t="str">
        <v>&gt; 26°C</v>
      </c>
    </row>
    <row r="27">
      <c r="A27" t="str">
        <v>1.5%</v>
      </c>
      <c r="B27" t="str">
        <v>0.870%</v>
      </c>
      <c r="C27">
        <v>8.7</v>
      </c>
      <c r="D27" t="str">
        <v>18–26°C</v>
      </c>
    </row>
    <row r="28">
      <c r="A28" t="str">
        <v>2.0%</v>
      </c>
      <c r="B28" t="str">
        <v>1.160%</v>
      </c>
      <c r="C28">
        <v>11.6</v>
      </c>
      <c r="D28" t="str">
        <v>&lt; 18°C</v>
      </c>
    </row>
    <row r="29">
      <c r="A29" t="str">
        <v/>
      </c>
    </row>
    <row r="30">
      <c r="A30" t="str">
        <v>Retarder: 0.025% of resin = 145 grams per 1000kg batch</v>
      </c>
    </row>
    <row r="31">
      <c r="A31" t="str">
        <v/>
      </c>
    </row>
    <row r="32">
      <c r="A32" t="str">
        <v>MATERIAL DENSITIES</v>
      </c>
    </row>
    <row r="33">
      <c r="A33" t="str">
        <v/>
      </c>
    </row>
    <row r="34">
      <c r="A34" t="str">
        <v>Material</v>
      </c>
      <c r="B34" t="str">
        <v>Density (kg/m³)</v>
      </c>
    </row>
    <row r="35">
      <c r="A35" t="str">
        <v>TitanPour Resin System</v>
      </c>
      <c r="B35">
        <v>1550</v>
      </c>
    </row>
    <row r="36">
      <c r="A36" t="str">
        <v>FRP Hand Layup (CSM + Polyester)</v>
      </c>
      <c r="B36">
        <v>1500</v>
      </c>
    </row>
    <row r="37">
      <c r="A37" t="str">
        <v>FRP Spray-up</v>
      </c>
      <c r="B37">
        <v>1400</v>
      </c>
    </row>
    <row r="38">
      <c r="A38" t="str">
        <v>FRP Vacuum Infused (Woven + Epoxy)</v>
      </c>
      <c r="B38">
        <v>1700</v>
      </c>
    </row>
    <row r="39">
      <c r="A39" t="str">
        <v>Marine Plywood</v>
      </c>
      <c r="B39">
        <v>550</v>
      </c>
    </row>
    <row r="40">
      <c r="A40" t="str">
        <v>Coosa Board (Composite Core)</v>
      </c>
      <c r="B40">
        <v>420</v>
      </c>
    </row>
    <row r="41">
      <c r="A41" t="str">
        <v>Marine Aluminium (5083)</v>
      </c>
      <c r="B41">
        <v>2660</v>
      </c>
    </row>
    <row r="42">
      <c r="A42" t="str">
        <v/>
      </c>
    </row>
    <row r="43">
      <c r="A43" t="str">
        <v>MIX COMPOSITION</v>
      </c>
    </row>
    <row r="44">
      <c r="A44" t="str">
        <v/>
      </c>
    </row>
    <row r="45">
      <c r="A45" t="str">
        <v>Component</v>
      </c>
      <c r="B45" t="str">
        <v>Fraction</v>
      </c>
      <c r="C45" t="str">
        <v>Per 1000kg</v>
      </c>
    </row>
    <row r="46">
      <c r="A46" t="str">
        <v>Resin (Crystic VE671-03)</v>
      </c>
      <c r="B46" t="str">
        <v>58%</v>
      </c>
      <c r="C46" t="str">
        <v>580 kg</v>
      </c>
    </row>
    <row r="47">
      <c r="A47" t="str">
        <v>Talc filler</v>
      </c>
      <c r="B47" t="str">
        <v>30%</v>
      </c>
      <c r="C47" t="str">
        <v>300 kg</v>
      </c>
    </row>
    <row r="48">
      <c r="A48" t="str">
        <v>Glass fibre</v>
      </c>
      <c r="B48" t="str">
        <v>10%</v>
      </c>
      <c r="C48" t="str">
        <v>100 kg</v>
      </c>
    </row>
    <row r="49">
      <c r="A49" t="str">
        <v>Catalyst + retarder</v>
      </c>
      <c r="B49" t="str">
        <v>~2%</v>
      </c>
      <c r="C49" t="str">
        <v>~20 kg</v>
      </c>
    </row>
    <row r="50">
      <c r="A50" t="str">
        <v/>
      </c>
    </row>
    <row r="51">
      <c r="A51" t="str">
        <v>CURE TEMPERATURE THRESHOLDS</v>
      </c>
    </row>
    <row r="52">
      <c r="A52" t="str">
        <v/>
      </c>
    </row>
    <row r="53">
      <c r="A53" t="str">
        <v>Condition</v>
      </c>
      <c r="B53" t="str">
        <v>Verdict</v>
      </c>
    </row>
    <row r="54">
      <c r="A54" t="str">
        <v>≥ 18°C, dry, low humidity</v>
      </c>
      <c r="B54" t="str">
        <v>IDEAL — standard catalyst 1.5%</v>
      </c>
    </row>
    <row r="55">
      <c r="A55" t="str">
        <v>15–18°C</v>
      </c>
      <c r="B55" t="str">
        <v>WORKABLE — may need 2.0% catalyst</v>
      </c>
    </row>
    <row r="56">
      <c r="A56" t="str">
        <v>10–15°C</v>
      </c>
      <c r="B56" t="str">
        <v>CAUTION — slow cure, use 2.0% + winter hardener</v>
      </c>
    </row>
    <row r="57">
      <c r="A57" t="str">
        <v>&lt; 10°C</v>
      </c>
      <c r="B57" t="str">
        <v>NO-GO — incomplete cure risk without mould heating</v>
      </c>
    </row>
    <row r="58">
      <c r="A58" t="str">
        <v>&gt; 26°C</v>
      </c>
      <c r="B58" t="str">
        <v>CAUTION — reduce to 1.2%, pre-cool resin</v>
      </c>
    </row>
    <row r="59">
      <c r="A59" t="str">
        <v>&gt; 30°C</v>
      </c>
      <c r="B59" t="str">
        <v>HIGH RISK — exotherm danger, consider postponing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Rod Grid</vt:lpstr>
      <vt:lpstr>Area &amp; Weight</vt:lpstr>
      <vt:lpstr>Mix Calculator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