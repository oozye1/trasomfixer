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ea &amp; Volume" sheetId="1" state="visible" r:id="rId1"/>
    <sheet name="Rod Grid" sheetId="2" state="visible" r:id="rId2"/>
    <sheet name="Mix Calculator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E3A5F"/>
      <sz val="11"/>
    </font>
    <font>
      <sz val="11"/>
    </font>
    <font>
      <color rgb="00888888"/>
      <sz val="9"/>
    </font>
    <font>
      <i val="1"/>
      <color rgb="00666666"/>
      <sz val="9"/>
    </font>
    <font>
      <b val="1"/>
      <sz val="10"/>
    </font>
    <font>
      <color rgb="00444444"/>
      <sz val="10"/>
    </font>
    <font>
      <sz val="10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8F0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8" customWidth="1" min="3" max="3"/>
    <col width="4" customWidth="1" min="4" max="4"/>
    <col width="40" customWidth="1" min="5" max="5"/>
  </cols>
  <sheetData>
    <row r="1">
      <c r="A1" s="1" t="inlineStr">
        <is>
          <t>TitanPour Transom Calculator - Area &amp; Volume</t>
        </is>
      </c>
    </row>
    <row r="3">
      <c r="A3" s="2" t="inlineStr">
        <is>
          <t>INPUTS</t>
        </is>
      </c>
    </row>
    <row r="4">
      <c r="A4" s="3" t="inlineStr">
        <is>
          <t>Transom Width</t>
        </is>
      </c>
      <c r="B4" s="4" t="n">
        <v>1800</v>
      </c>
      <c r="C4" s="5" t="inlineStr">
        <is>
          <t>mm</t>
        </is>
      </c>
    </row>
    <row r="5">
      <c r="A5" s="3" t="inlineStr">
        <is>
          <t>Centre Height (vertical)</t>
        </is>
      </c>
      <c r="B5" s="4" t="n">
        <v>508</v>
      </c>
      <c r="C5" s="5" t="inlineStr">
        <is>
          <t>mm</t>
        </is>
      </c>
      <c r="E5" s="6" t="inlineStr">
        <is>
          <t>Tallest point (middle)</t>
        </is>
      </c>
    </row>
    <row r="6">
      <c r="A6" s="3" t="inlineStr">
        <is>
          <t>Side Height (vertical)</t>
        </is>
      </c>
      <c r="B6" s="4" t="n">
        <v>350</v>
      </c>
      <c r="C6" s="5" t="inlineStr">
        <is>
          <t>mm</t>
        </is>
      </c>
      <c r="E6" s="6" t="inlineStr">
        <is>
          <t>Shortest point (edges)</t>
        </is>
      </c>
    </row>
    <row r="7">
      <c r="A7" s="3" t="inlineStr">
        <is>
          <t>Rake Angle</t>
        </is>
      </c>
      <c r="B7" s="4" t="n">
        <v>20</v>
      </c>
      <c r="C7" s="5" t="inlineStr">
        <is>
          <t>deg</t>
        </is>
      </c>
    </row>
    <row r="8">
      <c r="A8" s="3" t="inlineStr">
        <is>
          <t>Thickness</t>
        </is>
      </c>
      <c r="B8" s="4" t="n">
        <v>50</v>
      </c>
      <c r="C8" s="5" t="inlineStr">
        <is>
          <t>mm</t>
        </is>
      </c>
    </row>
    <row r="9">
      <c r="A9" s="3" t="inlineStr">
        <is>
          <t>Shell Thickness</t>
        </is>
      </c>
      <c r="B9" s="4" t="n">
        <v>6</v>
      </c>
      <c r="C9" s="5" t="inlineStr">
        <is>
          <t>mm</t>
        </is>
      </c>
      <c r="E9" s="6" t="inlineStr">
        <is>
          <t>Existing outer GRP skin</t>
        </is>
      </c>
    </row>
    <row r="10">
      <c r="A10" s="3" t="inlineStr">
        <is>
          <t>Wastage</t>
        </is>
      </c>
      <c r="B10" s="4" t="n">
        <v>10</v>
      </c>
      <c r="C10" s="5" t="inlineStr">
        <is>
          <t>%</t>
        </is>
      </c>
    </row>
    <row r="11">
      <c r="A11" s="3" t="inlineStr">
        <is>
          <t>Cutout Width</t>
        </is>
      </c>
      <c r="B11" s="4" t="n">
        <v>660</v>
      </c>
      <c r="C11" s="5" t="inlineStr">
        <is>
          <t>mm</t>
        </is>
      </c>
    </row>
    <row r="12">
      <c r="A12" s="3" t="inlineStr">
        <is>
          <t>Cutout Height</t>
        </is>
      </c>
      <c r="B12" s="4" t="n">
        <v>380</v>
      </c>
      <c r="C12" s="5" t="inlineStr">
        <is>
          <t>mm</t>
        </is>
      </c>
    </row>
    <row r="13">
      <c r="A13" s="3" t="inlineStr">
        <is>
          <t>Cutout Count</t>
        </is>
      </c>
      <c r="B13" s="4" t="n">
        <v>1</v>
      </c>
    </row>
    <row r="14">
      <c r="A14" s="3" t="inlineStr">
        <is>
          <t>Material Density</t>
        </is>
      </c>
      <c r="B14" s="4" t="n">
        <v>1550</v>
      </c>
      <c r="C14" s="5" t="inlineStr">
        <is>
          <t>kg/m3</t>
        </is>
      </c>
      <c r="E14" s="6" t="inlineStr">
        <is>
          <t>TitanPour default</t>
        </is>
      </c>
    </row>
    <row r="16">
      <c r="A16" s="2" t="inlineStr">
        <is>
          <t>SLOPE HEIGHTS</t>
        </is>
      </c>
    </row>
    <row r="17">
      <c r="A17" s="3" t="inlineStr">
        <is>
          <t>Centre Slope Height</t>
        </is>
      </c>
      <c r="B17" s="4">
        <f>B5/COS(RADIANS(B7))</f>
        <v/>
      </c>
      <c r="C17" s="5" t="inlineStr">
        <is>
          <t>mm</t>
        </is>
      </c>
      <c r="E17" s="6">
        <f> centreHeight / cos(angle)</f>
        <v/>
      </c>
    </row>
    <row r="18">
      <c r="A18" s="3" t="inlineStr">
        <is>
          <t>Side Slope Height</t>
        </is>
      </c>
      <c r="B18" s="4">
        <f>B6/COS(RADIANS(B7))</f>
        <v/>
      </c>
      <c r="C18" s="5" t="inlineStr">
        <is>
          <t>mm</t>
        </is>
      </c>
      <c r="E18" s="6">
        <f> sideHeight / cos(angle)</f>
        <v/>
      </c>
    </row>
    <row r="20">
      <c r="A20" s="2" t="inlineStr">
        <is>
          <t>AREA (Pentagon / Trapezoid)</t>
        </is>
      </c>
    </row>
    <row r="21">
      <c r="A21" s="3" t="inlineStr">
        <is>
          <t>Gross Area</t>
        </is>
      </c>
      <c r="B21" s="4">
        <f>B4*(B17+B18)/2/1000000</f>
        <v/>
      </c>
      <c r="C21" s="5" t="inlineStr">
        <is>
          <t>m2</t>
        </is>
      </c>
      <c r="E21" s="6">
        <f> W x (centreSlopeH + sideSlopeH) / 2</f>
        <v/>
      </c>
    </row>
    <row r="22">
      <c r="A22" s="3" t="inlineStr">
        <is>
          <t>Cutout Slope Height</t>
        </is>
      </c>
      <c r="B22" s="4">
        <f>IF(B13&gt;0,B12/COS(RADIANS(B7)),0)</f>
        <v/>
      </c>
      <c r="C22" s="5" t="inlineStr">
        <is>
          <t>mm</t>
        </is>
      </c>
    </row>
    <row r="23">
      <c r="A23" s="3" t="inlineStr">
        <is>
          <t>Single Cutout Area</t>
        </is>
      </c>
      <c r="B23" s="4">
        <f>IF(B13&gt;0,B11*B22/1000000,0)</f>
        <v/>
      </c>
      <c r="C23" s="5" t="inlineStr">
        <is>
          <t>m2</t>
        </is>
      </c>
    </row>
    <row r="24">
      <c r="A24" s="3" t="inlineStr">
        <is>
          <t>Total Cutout Area</t>
        </is>
      </c>
      <c r="B24" s="4">
        <f>B23*B13</f>
        <v/>
      </c>
      <c r="C24" s="5" t="inlineStr">
        <is>
          <t>m2</t>
        </is>
      </c>
    </row>
    <row r="25">
      <c r="A25" s="3" t="inlineStr">
        <is>
          <t>Net Area</t>
        </is>
      </c>
      <c r="B25" s="4">
        <f>B21-B24</f>
        <v/>
      </c>
      <c r="C25" s="5" t="inlineStr">
        <is>
          <t>m2</t>
        </is>
      </c>
    </row>
    <row r="27">
      <c r="A27" s="2" t="inlineStr">
        <is>
          <t>VOLUME</t>
        </is>
      </c>
    </row>
    <row r="28">
      <c r="A28" s="3" t="inlineStr">
        <is>
          <t>Cavity Volume</t>
        </is>
      </c>
      <c r="B28" s="4">
        <f>B25*B8</f>
        <v/>
      </c>
      <c r="C28" s="5" t="inlineStr">
        <is>
          <t>litres</t>
        </is>
      </c>
      <c r="E28" s="6">
        <f> netArea(m2) x thickness(mm) = litres</f>
        <v/>
      </c>
    </row>
    <row r="29">
      <c r="A29" s="3" t="inlineStr">
        <is>
          <t>Rod Displacement</t>
        </is>
      </c>
      <c r="B29" s="4">
        <f>'Rod Grid'!B33</f>
        <v/>
      </c>
      <c r="C29" s="5" t="inlineStr">
        <is>
          <t>litres</t>
        </is>
      </c>
      <c r="E29" s="6" t="inlineStr">
        <is>
          <t>From Rod Grid sheet</t>
        </is>
      </c>
    </row>
    <row r="30">
      <c r="A30" s="3" t="inlineStr">
        <is>
          <t>Pour Volume (net)</t>
        </is>
      </c>
      <c r="B30" s="4">
        <f>B28-B29</f>
        <v/>
      </c>
      <c r="C30" s="5" t="inlineStr">
        <is>
          <t>litres</t>
        </is>
      </c>
      <c r="E30" s="6" t="inlineStr">
        <is>
          <t>Cavity minus rods</t>
        </is>
      </c>
    </row>
    <row r="31">
      <c r="A31" s="3" t="inlineStr">
        <is>
          <t>Resin (no wastage)</t>
        </is>
      </c>
      <c r="B31" s="4">
        <f>B30</f>
        <v/>
      </c>
      <c r="C31" s="5" t="inlineStr">
        <is>
          <t>litres</t>
        </is>
      </c>
    </row>
    <row r="32">
      <c r="A32" s="3" t="inlineStr">
        <is>
          <t>Resin (with wastage)</t>
        </is>
      </c>
      <c r="B32" s="4">
        <f>B31*(1+B10/100)</f>
        <v/>
      </c>
      <c r="C32" s="5" t="inlineStr">
        <is>
          <t>litres</t>
        </is>
      </c>
    </row>
    <row r="33">
      <c r="A33" s="3" t="inlineStr">
        <is>
          <t>Order Weight</t>
        </is>
      </c>
      <c r="B33" s="4">
        <f>B32*B14/1000</f>
        <v/>
      </c>
      <c r="C33" s="5" t="inlineStr">
        <is>
          <t>kg</t>
        </is>
      </c>
      <c r="E33" s="6">
        <f> litres x density</f>
        <v/>
      </c>
    </row>
    <row r="35">
      <c r="A35" s="2" t="inlineStr">
        <is>
          <t>POUR DEPTH</t>
        </is>
      </c>
    </row>
    <row r="36">
      <c r="A36" s="3" t="inlineStr">
        <is>
          <t>Pour Depth</t>
        </is>
      </c>
      <c r="B36" s="4">
        <f>B8-B9</f>
        <v/>
      </c>
      <c r="C36" s="5" t="inlineStr">
        <is>
          <t>mm</t>
        </is>
      </c>
      <c r="E36" s="6">
        <f> thickness - shell</f>
        <v/>
      </c>
    </row>
  </sheetData>
  <mergeCells count="6">
    <mergeCell ref="A35:E35"/>
    <mergeCell ref="A20:E20"/>
    <mergeCell ref="A16:E16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8" customWidth="1" min="3" max="3"/>
    <col width="4" customWidth="1" min="4" max="4"/>
    <col width="36" customWidth="1" min="5" max="5"/>
    <col width="16" customWidth="1" min="6" max="6"/>
    <col width="8" customWidth="1" min="7" max="7"/>
  </cols>
  <sheetData>
    <row r="1">
      <c r="A1" s="1" t="inlineStr">
        <is>
          <t>Rod Grid Calculation</t>
        </is>
      </c>
    </row>
    <row r="3">
      <c r="A3" s="2" t="inlineStr">
        <is>
          <t>ROD INPUTS</t>
        </is>
      </c>
    </row>
    <row r="4">
      <c r="A4" s="3" t="inlineStr">
        <is>
          <t>Rod Spacing</t>
        </is>
      </c>
      <c r="B4" s="4" t="n">
        <v>70</v>
      </c>
      <c r="C4" s="5" t="inlineStr">
        <is>
          <t>mm</t>
        </is>
      </c>
    </row>
    <row r="5">
      <c r="A5" s="3" t="inlineStr">
        <is>
          <t>H Rod Diameter</t>
        </is>
      </c>
      <c r="B5" s="4" t="n">
        <v>7</v>
      </c>
      <c r="C5" s="5" t="inlineStr">
        <is>
          <t>mm</t>
        </is>
      </c>
    </row>
    <row r="6">
      <c r="A6" s="3" t="inlineStr">
        <is>
          <t>V Rod Diameter</t>
        </is>
      </c>
      <c r="B6" s="4" t="n">
        <v>7</v>
      </c>
      <c r="C6" s="5" t="inlineStr">
        <is>
          <t>mm</t>
        </is>
      </c>
    </row>
    <row r="7">
      <c r="A7" s="3" t="inlineStr">
        <is>
          <t>Rod Gap (H rods)</t>
        </is>
      </c>
      <c r="B7" s="4" t="n">
        <v>30</v>
      </c>
      <c r="C7" s="5" t="inlineStr">
        <is>
          <t>mm</t>
        </is>
      </c>
      <c r="E7" s="6" t="inlineStr">
        <is>
          <t>Clearance each side</t>
        </is>
      </c>
    </row>
    <row r="8">
      <c r="A8" s="3" t="inlineStr">
        <is>
          <t>Min Cover</t>
        </is>
      </c>
      <c r="B8" s="4" t="n">
        <v>10</v>
      </c>
      <c r="C8" s="5" t="inlineStr">
        <is>
          <t>mm</t>
        </is>
      </c>
    </row>
    <row r="10">
      <c r="A10" s="2" t="inlineStr">
        <is>
          <t>ROD COUNTS</t>
        </is>
      </c>
    </row>
    <row r="11">
      <c r="A11" s="3" t="inlineStr">
        <is>
          <t>Centre Slope Height</t>
        </is>
      </c>
      <c r="B11" s="4">
        <f>'Area &amp; Volume'!B17</f>
        <v/>
      </c>
      <c r="C11" s="5" t="inlineStr">
        <is>
          <t>mm</t>
        </is>
      </c>
    </row>
    <row r="12">
      <c r="A12" s="3" t="inlineStr">
        <is>
          <t>Side Slope Height</t>
        </is>
      </c>
      <c r="B12" s="4">
        <f>'Area &amp; Volume'!B18</f>
        <v/>
      </c>
      <c r="C12" s="5" t="inlineStr">
        <is>
          <t>mm</t>
        </is>
      </c>
    </row>
    <row r="13">
      <c r="A13" s="3" t="inlineStr">
        <is>
          <t>Width</t>
        </is>
      </c>
      <c r="B13" s="4">
        <f>'Area &amp; Volume'!B4</f>
        <v/>
      </c>
      <c r="C13" s="5" t="inlineStr">
        <is>
          <t>mm</t>
        </is>
      </c>
    </row>
    <row r="14">
      <c r="A14" s="3" t="inlineStr">
        <is>
          <t>Centre Height (vert)</t>
        </is>
      </c>
      <c r="B14" s="4">
        <f>'Area &amp; Volume'!B5</f>
        <v/>
      </c>
      <c r="C14" s="5" t="inlineStr">
        <is>
          <t>mm</t>
        </is>
      </c>
    </row>
    <row r="15">
      <c r="A15" s="3" t="inlineStr">
        <is>
          <t>Side Height (vert)</t>
        </is>
      </c>
      <c r="B15" s="4">
        <f>'Area &amp; Volume'!B6</f>
        <v/>
      </c>
      <c r="C15" s="5" t="inlineStr">
        <is>
          <t>mm</t>
        </is>
      </c>
    </row>
    <row r="16">
      <c r="A16" s="3" t="inlineStr">
        <is>
          <t>Cos(Angle)</t>
        </is>
      </c>
      <c r="B16" s="4">
        <f>COS(RADIANS('Area &amp; Volume'!B7))</f>
        <v/>
      </c>
    </row>
    <row r="17">
      <c r="A17" s="3" t="inlineStr">
        <is>
          <t>H Rod Count</t>
        </is>
      </c>
      <c r="B17" s="4">
        <f>FLOOR(B11/B4,1)+1</f>
        <v/>
      </c>
      <c r="E17" s="6" t="inlineStr">
        <is>
          <t>Based on centre slope height</t>
        </is>
      </c>
    </row>
    <row r="18">
      <c r="A18" s="3" t="inlineStr">
        <is>
          <t>V Rod Count</t>
        </is>
      </c>
      <c r="B18" s="4">
        <f>FLOOR(B13/B4,1)+1</f>
        <v/>
      </c>
      <c r="E18" s="6" t="inlineStr">
        <is>
          <t>Based on width</t>
        </is>
      </c>
    </row>
    <row r="20">
      <c r="A20" s="2" t="inlineStr">
        <is>
          <t>H ROD CUT LIST (individual lengths)</t>
        </is>
      </c>
    </row>
    <row r="21">
      <c r="A21" s="7" t="inlineStr">
        <is>
          <t>Rod #</t>
        </is>
      </c>
      <c r="B21" s="7" t="inlineStr">
        <is>
          <t>Slope Y (mm)</t>
        </is>
      </c>
      <c r="C21" s="7" t="inlineStr">
        <is>
          <t>Vert Y (mm)</t>
        </is>
      </c>
      <c r="D21" s="7" t="inlineStr">
        <is>
          <t>Zone</t>
        </is>
      </c>
      <c r="E21" s="7" t="inlineStr">
        <is>
          <t>Panel Width (mm)</t>
        </is>
      </c>
      <c r="F21" s="7" t="inlineStr">
        <is>
          <t>Rod Length (mm)</t>
        </is>
      </c>
    </row>
    <row r="22">
      <c r="A22">
        <f>IF(1&lt;=B17,1,"")</f>
        <v/>
      </c>
      <c r="B22">
        <f>IF(1&lt;=B17,(1-1)*B4,"")</f>
        <v/>
      </c>
      <c r="C22">
        <f>IF(1&lt;=B17,B22*B16,"")</f>
        <v/>
      </c>
      <c r="D22">
        <f>IF(1&lt;=B17,IF(C22&lt;=B15,"RECT","TRI"),"")</f>
        <v/>
      </c>
      <c r="E22">
        <f>IF(1&lt;=B17,IF(C22&lt;=B15,B13,B13*(B14-C22)/(B14-B15)),"")</f>
        <v/>
      </c>
      <c r="F22">
        <f>IF(1&lt;=B17,MAX(E22-B7,0),"")</f>
        <v/>
      </c>
    </row>
    <row r="23">
      <c r="A23">
        <f>IF(2&lt;=B17,2,"")</f>
        <v/>
      </c>
      <c r="B23">
        <f>IF(2&lt;=B17,(2-1)*B4,"")</f>
        <v/>
      </c>
      <c r="C23">
        <f>IF(2&lt;=B17,B23*B16,"")</f>
        <v/>
      </c>
      <c r="D23">
        <f>IF(2&lt;=B17,IF(C23&lt;=B15,"RECT","TRI"),"")</f>
        <v/>
      </c>
      <c r="E23">
        <f>IF(2&lt;=B17,IF(C23&lt;=B15,B13,B13*(B14-C23)/(B14-B15)),"")</f>
        <v/>
      </c>
      <c r="F23">
        <f>IF(2&lt;=B17,MAX(E23-B7,0),"")</f>
        <v/>
      </c>
    </row>
    <row r="24">
      <c r="A24">
        <f>IF(3&lt;=B17,3,"")</f>
        <v/>
      </c>
      <c r="B24">
        <f>IF(3&lt;=B17,(3-1)*B4,"")</f>
        <v/>
      </c>
      <c r="C24">
        <f>IF(3&lt;=B17,B24*B16,"")</f>
        <v/>
      </c>
      <c r="D24">
        <f>IF(3&lt;=B17,IF(C24&lt;=B15,"RECT","TRI"),"")</f>
        <v/>
      </c>
      <c r="E24">
        <f>IF(3&lt;=B17,IF(C24&lt;=B15,B13,B13*(B14-C24)/(B14-B15)),"")</f>
        <v/>
      </c>
      <c r="F24">
        <f>IF(3&lt;=B17,MAX(E24-B7,0),"")</f>
        <v/>
      </c>
    </row>
    <row r="25">
      <c r="A25">
        <f>IF(4&lt;=B17,4,"")</f>
        <v/>
      </c>
      <c r="B25">
        <f>IF(4&lt;=B17,(4-1)*B4,"")</f>
        <v/>
      </c>
      <c r="C25">
        <f>IF(4&lt;=B17,B25*B16,"")</f>
        <v/>
      </c>
      <c r="D25">
        <f>IF(4&lt;=B17,IF(C25&lt;=B15,"RECT","TRI"),"")</f>
        <v/>
      </c>
      <c r="E25">
        <f>IF(4&lt;=B17,IF(C25&lt;=B15,B13,B13*(B14-C25)/(B14-B15)),"")</f>
        <v/>
      </c>
      <c r="F25">
        <f>IF(4&lt;=B17,MAX(E25-B7,0),"")</f>
        <v/>
      </c>
    </row>
    <row r="26">
      <c r="A26">
        <f>IF(5&lt;=B17,5,"")</f>
        <v/>
      </c>
      <c r="B26">
        <f>IF(5&lt;=B17,(5-1)*B4,"")</f>
        <v/>
      </c>
      <c r="C26">
        <f>IF(5&lt;=B17,B26*B16,"")</f>
        <v/>
      </c>
      <c r="D26">
        <f>IF(5&lt;=B17,IF(C26&lt;=B15,"RECT","TRI"),"")</f>
        <v/>
      </c>
      <c r="E26">
        <f>IF(5&lt;=B17,IF(C26&lt;=B15,B13,B13*(B14-C26)/(B14-B15)),"")</f>
        <v/>
      </c>
      <c r="F26">
        <f>IF(5&lt;=B17,MAX(E26-B7,0),"")</f>
        <v/>
      </c>
    </row>
    <row r="27">
      <c r="A27">
        <f>IF(6&lt;=B17,6,"")</f>
        <v/>
      </c>
      <c r="B27">
        <f>IF(6&lt;=B17,(6-1)*B4,"")</f>
        <v/>
      </c>
      <c r="C27">
        <f>IF(6&lt;=B17,B27*B16,"")</f>
        <v/>
      </c>
      <c r="D27">
        <f>IF(6&lt;=B17,IF(C27&lt;=B15,"RECT","TRI"),"")</f>
        <v/>
      </c>
      <c r="E27">
        <f>IF(6&lt;=B17,IF(C27&lt;=B15,B13,B13*(B14-C27)/(B14-B15)),"")</f>
        <v/>
      </c>
      <c r="F27">
        <f>IF(6&lt;=B17,MAX(E27-B7,0),"")</f>
        <v/>
      </c>
    </row>
    <row r="28">
      <c r="A28">
        <f>IF(7&lt;=B17,7,"")</f>
        <v/>
      </c>
      <c r="B28">
        <f>IF(7&lt;=B17,(7-1)*B4,"")</f>
        <v/>
      </c>
      <c r="C28">
        <f>IF(7&lt;=B17,B28*B16,"")</f>
        <v/>
      </c>
      <c r="D28">
        <f>IF(7&lt;=B17,IF(C28&lt;=B15,"RECT","TRI"),"")</f>
        <v/>
      </c>
      <c r="E28">
        <f>IF(7&lt;=B17,IF(C28&lt;=B15,B13,B13*(B14-C28)/(B14-B15)),"")</f>
        <v/>
      </c>
      <c r="F28">
        <f>IF(7&lt;=B17,MAX(E28-B7,0),"")</f>
        <v/>
      </c>
    </row>
    <row r="29">
      <c r="A29">
        <f>IF(8&lt;=B17,8,"")</f>
        <v/>
      </c>
      <c r="B29">
        <f>IF(8&lt;=B17,(8-1)*B4,"")</f>
        <v/>
      </c>
      <c r="C29">
        <f>IF(8&lt;=B17,B29*B16,"")</f>
        <v/>
      </c>
      <c r="D29">
        <f>IF(8&lt;=B17,IF(C29&lt;=B15,"RECT","TRI"),"")</f>
        <v/>
      </c>
      <c r="E29">
        <f>IF(8&lt;=B17,IF(C29&lt;=B15,B13,B13*(B14-C29)/(B14-B15)),"")</f>
        <v/>
      </c>
      <c r="F29">
        <f>IF(8&lt;=B17,MAX(E29-B7,0),"")</f>
        <v/>
      </c>
    </row>
    <row r="30">
      <c r="A30">
        <f>IF(9&lt;=B17,9,"")</f>
        <v/>
      </c>
      <c r="B30">
        <f>IF(9&lt;=B17,(9-1)*B4,"")</f>
        <v/>
      </c>
      <c r="C30">
        <f>IF(9&lt;=B17,B30*B16,"")</f>
        <v/>
      </c>
      <c r="D30">
        <f>IF(9&lt;=B17,IF(C30&lt;=B15,"RECT","TRI"),"")</f>
        <v/>
      </c>
      <c r="E30">
        <f>IF(9&lt;=B17,IF(C30&lt;=B15,B13,B13*(B14-C30)/(B14-B15)),"")</f>
        <v/>
      </c>
      <c r="F30">
        <f>IF(9&lt;=B17,MAX(E30-B7,0),"")</f>
        <v/>
      </c>
    </row>
    <row r="31">
      <c r="A31">
        <f>IF(10&lt;=B17,10,"")</f>
        <v/>
      </c>
      <c r="B31">
        <f>IF(10&lt;=B17,(10-1)*B4,"")</f>
        <v/>
      </c>
      <c r="C31">
        <f>IF(10&lt;=B17,B31*B16,"")</f>
        <v/>
      </c>
      <c r="D31">
        <f>IF(10&lt;=B17,IF(C31&lt;=B15,"RECT","TRI"),"")</f>
        <v/>
      </c>
      <c r="E31">
        <f>IF(10&lt;=B17,IF(C31&lt;=B15,B13,B13*(B14-C31)/(B14-B15)),"")</f>
        <v/>
      </c>
      <c r="F31">
        <f>IF(10&lt;=B17,MAX(E31-B7,0),"")</f>
        <v/>
      </c>
    </row>
    <row r="32">
      <c r="A32">
        <f>IF(11&lt;=B17,11,"")</f>
        <v/>
      </c>
      <c r="B32">
        <f>IF(11&lt;=B17,(11-1)*B4,"")</f>
        <v/>
      </c>
      <c r="C32">
        <f>IF(11&lt;=B17,B32*B16,"")</f>
        <v/>
      </c>
      <c r="D32">
        <f>IF(11&lt;=B17,IF(C32&lt;=B15,"RECT","TRI"),"")</f>
        <v/>
      </c>
      <c r="E32">
        <f>IF(11&lt;=B17,IF(C32&lt;=B15,B13,B13*(B14-C32)/(B14-B15)),"")</f>
        <v/>
      </c>
      <c r="F32">
        <f>IF(11&lt;=B17,MAX(E32-B7,0),"")</f>
        <v/>
      </c>
    </row>
    <row r="33">
      <c r="A33" s="3" t="inlineStr">
        <is>
          <t>Rod Displacement (linked)</t>
        </is>
      </c>
      <c r="B33" s="8">
        <f>B87</f>
        <v/>
      </c>
      <c r="C33" s="5" t="inlineStr">
        <is>
          <t>litres</t>
        </is>
      </c>
      <c r="D33">
        <f>IF(12&lt;=B17,IF(C33&lt;=B15,"RECT","TRI"),"")</f>
        <v/>
      </c>
      <c r="E33">
        <f>IF(12&lt;=B17,IF(C33&lt;=B15,B13,B13*(B14-C33)/(B14-B15)),"")</f>
        <v/>
      </c>
      <c r="F33">
        <f>IF(12&lt;=B17,MAX(E33-B7,0),"")</f>
        <v/>
      </c>
    </row>
    <row r="34">
      <c r="A34">
        <f>IF(13&lt;=B17,13,"")</f>
        <v/>
      </c>
      <c r="B34">
        <f>IF(13&lt;=B17,(13-1)*B4,"")</f>
        <v/>
      </c>
      <c r="C34">
        <f>IF(13&lt;=B17,B34*B16,"")</f>
        <v/>
      </c>
      <c r="D34">
        <f>IF(13&lt;=B17,IF(C34&lt;=B15,"RECT","TRI"),"")</f>
        <v/>
      </c>
      <c r="E34">
        <f>IF(13&lt;=B17,IF(C34&lt;=B15,B13,B13*(B14-C34)/(B14-B15)),"")</f>
        <v/>
      </c>
      <c r="F34">
        <f>IF(13&lt;=B17,MAX(E34-B7,0),"")</f>
        <v/>
      </c>
    </row>
    <row r="35">
      <c r="A35">
        <f>IF(14&lt;=B17,14,"")</f>
        <v/>
      </c>
      <c r="B35">
        <f>IF(14&lt;=B17,(14-1)*B4,"")</f>
        <v/>
      </c>
      <c r="C35">
        <f>IF(14&lt;=B17,B35*B16,"")</f>
        <v/>
      </c>
      <c r="D35">
        <f>IF(14&lt;=B17,IF(C35&lt;=B15,"RECT","TRI"),"")</f>
        <v/>
      </c>
      <c r="E35">
        <f>IF(14&lt;=B17,IF(C35&lt;=B15,B13,B13*(B14-C35)/(B14-B15)),"")</f>
        <v/>
      </c>
      <c r="F35">
        <f>IF(14&lt;=B17,MAX(E35-B7,0),"")</f>
        <v/>
      </c>
    </row>
    <row r="36">
      <c r="A36">
        <f>IF(15&lt;=B17,15,"")</f>
        <v/>
      </c>
      <c r="B36">
        <f>IF(15&lt;=B17,(15-1)*B4,"")</f>
        <v/>
      </c>
      <c r="C36">
        <f>IF(15&lt;=B17,B36*B16,"")</f>
        <v/>
      </c>
      <c r="D36">
        <f>IF(15&lt;=B17,IF(C36&lt;=B15,"RECT","TRI"),"")</f>
        <v/>
      </c>
      <c r="E36">
        <f>IF(15&lt;=B17,IF(C36&lt;=B15,B13,B13*(B14-C36)/(B14-B15)),"")</f>
        <v/>
      </c>
      <c r="F36">
        <f>IF(15&lt;=B17,MAX(E36-B7,0),"")</f>
        <v/>
      </c>
    </row>
    <row r="37">
      <c r="A37">
        <f>IF(16&lt;=B17,16,"")</f>
        <v/>
      </c>
      <c r="B37">
        <f>IF(16&lt;=B17,(16-1)*B4,"")</f>
        <v/>
      </c>
      <c r="C37">
        <f>IF(16&lt;=B17,B37*B16,"")</f>
        <v/>
      </c>
      <c r="D37">
        <f>IF(16&lt;=B17,IF(C37&lt;=B15,"RECT","TRI"),"")</f>
        <v/>
      </c>
      <c r="E37">
        <f>IF(16&lt;=B17,IF(C37&lt;=B15,B13,B13*(B14-C37)/(B14-B15)),"")</f>
        <v/>
      </c>
      <c r="F37">
        <f>IF(16&lt;=B17,MAX(E37-B7,0),"")</f>
        <v/>
      </c>
    </row>
    <row r="38">
      <c r="A38">
        <f>IF(17&lt;=B17,17,"")</f>
        <v/>
      </c>
      <c r="B38">
        <f>IF(17&lt;=B17,(17-1)*B4,"")</f>
        <v/>
      </c>
      <c r="C38">
        <f>IF(17&lt;=B17,B38*B16,"")</f>
        <v/>
      </c>
      <c r="D38">
        <f>IF(17&lt;=B17,IF(C38&lt;=B15,"RECT","TRI"),"")</f>
        <v/>
      </c>
      <c r="E38">
        <f>IF(17&lt;=B17,IF(C38&lt;=B15,B13,B13*(B14-C38)/(B14-B15)),"")</f>
        <v/>
      </c>
      <c r="F38">
        <f>IF(17&lt;=B17,MAX(E38-B7,0),"")</f>
        <v/>
      </c>
    </row>
    <row r="39">
      <c r="A39">
        <f>IF(18&lt;=B17,18,"")</f>
        <v/>
      </c>
      <c r="B39">
        <f>IF(18&lt;=B17,(18-1)*B4,"")</f>
        <v/>
      </c>
      <c r="C39">
        <f>IF(18&lt;=B17,B39*B16,"")</f>
        <v/>
      </c>
      <c r="D39">
        <f>IF(18&lt;=B17,IF(C39&lt;=B15,"RECT","TRI"),"")</f>
        <v/>
      </c>
      <c r="E39">
        <f>IF(18&lt;=B17,IF(C39&lt;=B15,B13,B13*(B14-C39)/(B14-B15)),"")</f>
        <v/>
      </c>
      <c r="F39">
        <f>IF(18&lt;=B17,MAX(E39-B7,0),"")</f>
        <v/>
      </c>
    </row>
    <row r="40">
      <c r="A40">
        <f>IF(19&lt;=B17,19,"")</f>
        <v/>
      </c>
      <c r="B40">
        <f>IF(19&lt;=B17,(19-1)*B4,"")</f>
        <v/>
      </c>
      <c r="C40">
        <f>IF(19&lt;=B17,B40*B16,"")</f>
        <v/>
      </c>
      <c r="D40">
        <f>IF(19&lt;=B17,IF(C40&lt;=B15,"RECT","TRI"),"")</f>
        <v/>
      </c>
      <c r="E40">
        <f>IF(19&lt;=B17,IF(C40&lt;=B15,B13,B13*(B14-C40)/(B14-B15)),"")</f>
        <v/>
      </c>
      <c r="F40">
        <f>IF(19&lt;=B17,MAX(E40-B7,0),"")</f>
        <v/>
      </c>
    </row>
    <row r="41">
      <c r="A41">
        <f>IF(20&lt;=B17,20,"")</f>
        <v/>
      </c>
      <c r="B41">
        <f>IF(20&lt;=B17,(20-1)*B4,"")</f>
        <v/>
      </c>
      <c r="C41">
        <f>IF(20&lt;=B17,B41*B16,"")</f>
        <v/>
      </c>
      <c r="D41">
        <f>IF(20&lt;=B17,IF(C41&lt;=B15,"RECT","TRI"),"")</f>
        <v/>
      </c>
      <c r="E41">
        <f>IF(20&lt;=B17,IF(C41&lt;=B15,B13,B13*(B14-C41)/(B14-B15)),"")</f>
        <v/>
      </c>
      <c r="F41">
        <f>IF(20&lt;=B17,MAX(E41-B7,0),"")</f>
        <v/>
      </c>
    </row>
    <row r="44">
      <c r="A44" s="2" t="inlineStr">
        <is>
          <t>V ROD CUT LIST (individual lengths)</t>
        </is>
      </c>
    </row>
    <row r="45">
      <c r="A45" s="7" t="inlineStr">
        <is>
          <t>Rod #</t>
        </is>
      </c>
      <c r="B45" s="7" t="inlineStr">
        <is>
          <t>X pos (mm)</t>
        </is>
      </c>
      <c r="C45" s="7" t="inlineStr">
        <is>
          <t>t (0-1)</t>
        </is>
      </c>
      <c r="D45" s="7" t="inlineStr"/>
      <c r="E45" s="7" t="inlineStr">
        <is>
          <t>Vert Height (mm)</t>
        </is>
      </c>
      <c r="F45" s="7" t="inlineStr">
        <is>
          <t>Slope Length (mm)</t>
        </is>
      </c>
    </row>
    <row r="46">
      <c r="A46">
        <f>IF(1&lt;=B18,1,"")</f>
        <v/>
      </c>
      <c r="B46">
        <f>IF(1&lt;=B18,(1-1)*B4,"")</f>
        <v/>
      </c>
      <c r="C46">
        <f>IF(1&lt;=B18,1-ABS(2*B46/B13-1),"")</f>
        <v/>
      </c>
      <c r="E46">
        <f>IF(1&lt;=B18,B15+(B14-B15)*C46,"")</f>
        <v/>
      </c>
      <c r="F46">
        <f>IF(1&lt;=B18,E46/B16,"")</f>
        <v/>
      </c>
    </row>
    <row r="47">
      <c r="A47">
        <f>IF(2&lt;=B18,2,"")</f>
        <v/>
      </c>
      <c r="B47">
        <f>IF(2&lt;=B18,(2-1)*B4,"")</f>
        <v/>
      </c>
      <c r="C47">
        <f>IF(2&lt;=B18,1-ABS(2*B47/B13-1),"")</f>
        <v/>
      </c>
      <c r="E47">
        <f>IF(2&lt;=B18,B15+(B14-B15)*C47,"")</f>
        <v/>
      </c>
      <c r="F47">
        <f>IF(2&lt;=B18,E47/B16,"")</f>
        <v/>
      </c>
    </row>
    <row r="48">
      <c r="A48">
        <f>IF(3&lt;=B18,3,"")</f>
        <v/>
      </c>
      <c r="B48">
        <f>IF(3&lt;=B18,(3-1)*B4,"")</f>
        <v/>
      </c>
      <c r="C48">
        <f>IF(3&lt;=B18,1-ABS(2*B48/B13-1),"")</f>
        <v/>
      </c>
      <c r="E48">
        <f>IF(3&lt;=B18,B15+(B14-B15)*C48,"")</f>
        <v/>
      </c>
      <c r="F48">
        <f>IF(3&lt;=B18,E48/B16,"")</f>
        <v/>
      </c>
    </row>
    <row r="49">
      <c r="A49">
        <f>IF(4&lt;=B18,4,"")</f>
        <v/>
      </c>
      <c r="B49">
        <f>IF(4&lt;=B18,(4-1)*B4,"")</f>
        <v/>
      </c>
      <c r="C49">
        <f>IF(4&lt;=B18,1-ABS(2*B49/B13-1),"")</f>
        <v/>
      </c>
      <c r="E49">
        <f>IF(4&lt;=B18,B15+(B14-B15)*C49,"")</f>
        <v/>
      </c>
      <c r="F49">
        <f>IF(4&lt;=B18,E49/B16,"")</f>
        <v/>
      </c>
    </row>
    <row r="50">
      <c r="A50">
        <f>IF(5&lt;=B18,5,"")</f>
        <v/>
      </c>
      <c r="B50">
        <f>IF(5&lt;=B18,(5-1)*B4,"")</f>
        <v/>
      </c>
      <c r="C50">
        <f>IF(5&lt;=B18,1-ABS(2*B50/B13-1),"")</f>
        <v/>
      </c>
      <c r="E50">
        <f>IF(5&lt;=B18,B15+(B14-B15)*C50,"")</f>
        <v/>
      </c>
      <c r="F50">
        <f>IF(5&lt;=B18,E50/B16,"")</f>
        <v/>
      </c>
    </row>
    <row r="51">
      <c r="A51">
        <f>IF(6&lt;=B18,6,"")</f>
        <v/>
      </c>
      <c r="B51">
        <f>IF(6&lt;=B18,(6-1)*B4,"")</f>
        <v/>
      </c>
      <c r="C51">
        <f>IF(6&lt;=B18,1-ABS(2*B51/B13-1),"")</f>
        <v/>
      </c>
      <c r="E51">
        <f>IF(6&lt;=B18,B15+(B14-B15)*C51,"")</f>
        <v/>
      </c>
      <c r="F51">
        <f>IF(6&lt;=B18,E51/B16,"")</f>
        <v/>
      </c>
    </row>
    <row r="52">
      <c r="A52">
        <f>IF(7&lt;=B18,7,"")</f>
        <v/>
      </c>
      <c r="B52">
        <f>IF(7&lt;=B18,(7-1)*B4,"")</f>
        <v/>
      </c>
      <c r="C52">
        <f>IF(7&lt;=B18,1-ABS(2*B52/B13-1),"")</f>
        <v/>
      </c>
      <c r="E52">
        <f>IF(7&lt;=B18,B15+(B14-B15)*C52,"")</f>
        <v/>
      </c>
      <c r="F52">
        <f>IF(7&lt;=B18,E52/B16,"")</f>
        <v/>
      </c>
    </row>
    <row r="53">
      <c r="A53">
        <f>IF(8&lt;=B18,8,"")</f>
        <v/>
      </c>
      <c r="B53">
        <f>IF(8&lt;=B18,(8-1)*B4,"")</f>
        <v/>
      </c>
      <c r="C53">
        <f>IF(8&lt;=B18,1-ABS(2*B53/B13-1),"")</f>
        <v/>
      </c>
      <c r="E53">
        <f>IF(8&lt;=B18,B15+(B14-B15)*C53,"")</f>
        <v/>
      </c>
      <c r="F53">
        <f>IF(8&lt;=B18,E53/B16,"")</f>
        <v/>
      </c>
    </row>
    <row r="54">
      <c r="A54">
        <f>IF(9&lt;=B18,9,"")</f>
        <v/>
      </c>
      <c r="B54">
        <f>IF(9&lt;=B18,(9-1)*B4,"")</f>
        <v/>
      </c>
      <c r="C54">
        <f>IF(9&lt;=B18,1-ABS(2*B54/B13-1),"")</f>
        <v/>
      </c>
      <c r="E54">
        <f>IF(9&lt;=B18,B15+(B14-B15)*C54,"")</f>
        <v/>
      </c>
      <c r="F54">
        <f>IF(9&lt;=B18,E54/B16,"")</f>
        <v/>
      </c>
    </row>
    <row r="55">
      <c r="A55">
        <f>IF(10&lt;=B18,10,"")</f>
        <v/>
      </c>
      <c r="B55">
        <f>IF(10&lt;=B18,(10-1)*B4,"")</f>
        <v/>
      </c>
      <c r="C55">
        <f>IF(10&lt;=B18,1-ABS(2*B55/B13-1),"")</f>
        <v/>
      </c>
      <c r="E55">
        <f>IF(10&lt;=B18,B15+(B14-B15)*C55,"")</f>
        <v/>
      </c>
      <c r="F55">
        <f>IF(10&lt;=B18,E55/B16,"")</f>
        <v/>
      </c>
    </row>
    <row r="56">
      <c r="A56">
        <f>IF(11&lt;=B18,11,"")</f>
        <v/>
      </c>
      <c r="B56">
        <f>IF(11&lt;=B18,(11-1)*B4,"")</f>
        <v/>
      </c>
      <c r="C56">
        <f>IF(11&lt;=B18,1-ABS(2*B56/B13-1),"")</f>
        <v/>
      </c>
      <c r="E56">
        <f>IF(11&lt;=B18,B15+(B14-B15)*C56,"")</f>
        <v/>
      </c>
      <c r="F56">
        <f>IF(11&lt;=B18,E56/B16,"")</f>
        <v/>
      </c>
    </row>
    <row r="57">
      <c r="A57">
        <f>IF(12&lt;=B18,12,"")</f>
        <v/>
      </c>
      <c r="B57">
        <f>IF(12&lt;=B18,(12-1)*B4,"")</f>
        <v/>
      </c>
      <c r="C57">
        <f>IF(12&lt;=B18,1-ABS(2*B57/B13-1),"")</f>
        <v/>
      </c>
      <c r="E57">
        <f>IF(12&lt;=B18,B15+(B14-B15)*C57,"")</f>
        <v/>
      </c>
      <c r="F57">
        <f>IF(12&lt;=B18,E57/B16,"")</f>
        <v/>
      </c>
    </row>
    <row r="58">
      <c r="A58">
        <f>IF(13&lt;=B18,13,"")</f>
        <v/>
      </c>
      <c r="B58">
        <f>IF(13&lt;=B18,(13-1)*B4,"")</f>
        <v/>
      </c>
      <c r="C58">
        <f>IF(13&lt;=B18,1-ABS(2*B58/B13-1),"")</f>
        <v/>
      </c>
      <c r="E58">
        <f>IF(13&lt;=B18,B15+(B14-B15)*C58,"")</f>
        <v/>
      </c>
      <c r="F58">
        <f>IF(13&lt;=B18,E58/B16,"")</f>
        <v/>
      </c>
    </row>
    <row r="59">
      <c r="A59">
        <f>IF(14&lt;=B18,14,"")</f>
        <v/>
      </c>
      <c r="B59">
        <f>IF(14&lt;=B18,(14-1)*B4,"")</f>
        <v/>
      </c>
      <c r="C59">
        <f>IF(14&lt;=B18,1-ABS(2*B59/B13-1),"")</f>
        <v/>
      </c>
      <c r="E59">
        <f>IF(14&lt;=B18,B15+(B14-B15)*C59,"")</f>
        <v/>
      </c>
      <c r="F59">
        <f>IF(14&lt;=B18,E59/B16,"")</f>
        <v/>
      </c>
    </row>
    <row r="60">
      <c r="A60">
        <f>IF(15&lt;=B18,15,"")</f>
        <v/>
      </c>
      <c r="B60">
        <f>IF(15&lt;=B18,(15-1)*B4,"")</f>
        <v/>
      </c>
      <c r="C60">
        <f>IF(15&lt;=B18,1-ABS(2*B60/B13-1),"")</f>
        <v/>
      </c>
      <c r="E60">
        <f>IF(15&lt;=B18,B15+(B14-B15)*C60,"")</f>
        <v/>
      </c>
      <c r="F60">
        <f>IF(15&lt;=B18,E60/B16,"")</f>
        <v/>
      </c>
    </row>
    <row r="61">
      <c r="A61">
        <f>IF(16&lt;=B18,16,"")</f>
        <v/>
      </c>
      <c r="B61">
        <f>IF(16&lt;=B18,(16-1)*B4,"")</f>
        <v/>
      </c>
      <c r="C61">
        <f>IF(16&lt;=B18,1-ABS(2*B61/B13-1),"")</f>
        <v/>
      </c>
      <c r="E61">
        <f>IF(16&lt;=B18,B15+(B14-B15)*C61,"")</f>
        <v/>
      </c>
      <c r="F61">
        <f>IF(16&lt;=B18,E61/B16,"")</f>
        <v/>
      </c>
    </row>
    <row r="62">
      <c r="A62">
        <f>IF(17&lt;=B18,17,"")</f>
        <v/>
      </c>
      <c r="B62">
        <f>IF(17&lt;=B18,(17-1)*B4,"")</f>
        <v/>
      </c>
      <c r="C62">
        <f>IF(17&lt;=B18,1-ABS(2*B62/B13-1),"")</f>
        <v/>
      </c>
      <c r="E62">
        <f>IF(17&lt;=B18,B15+(B14-B15)*C62,"")</f>
        <v/>
      </c>
      <c r="F62">
        <f>IF(17&lt;=B18,E62/B16,"")</f>
        <v/>
      </c>
    </row>
    <row r="63">
      <c r="A63">
        <f>IF(18&lt;=B18,18,"")</f>
        <v/>
      </c>
      <c r="B63">
        <f>IF(18&lt;=B18,(18-1)*B4,"")</f>
        <v/>
      </c>
      <c r="C63">
        <f>IF(18&lt;=B18,1-ABS(2*B63/B13-1),"")</f>
        <v/>
      </c>
      <c r="E63">
        <f>IF(18&lt;=B18,B15+(B14-B15)*C63,"")</f>
        <v/>
      </c>
      <c r="F63">
        <f>IF(18&lt;=B18,E63/B16,"")</f>
        <v/>
      </c>
    </row>
    <row r="64">
      <c r="A64">
        <f>IF(19&lt;=B18,19,"")</f>
        <v/>
      </c>
      <c r="B64">
        <f>IF(19&lt;=B18,(19-1)*B4,"")</f>
        <v/>
      </c>
      <c r="C64">
        <f>IF(19&lt;=B18,1-ABS(2*B64/B13-1),"")</f>
        <v/>
      </c>
      <c r="E64">
        <f>IF(19&lt;=B18,B15+(B14-B15)*C64,"")</f>
        <v/>
      </c>
      <c r="F64">
        <f>IF(19&lt;=B18,E64/B16,"")</f>
        <v/>
      </c>
    </row>
    <row r="65">
      <c r="A65">
        <f>IF(20&lt;=B18,20,"")</f>
        <v/>
      </c>
      <c r="B65">
        <f>IF(20&lt;=B18,(20-1)*B4,"")</f>
        <v/>
      </c>
      <c r="C65">
        <f>IF(20&lt;=B18,1-ABS(2*B65/B13-1),"")</f>
        <v/>
      </c>
      <c r="E65">
        <f>IF(20&lt;=B18,B15+(B14-B15)*C65,"")</f>
        <v/>
      </c>
      <c r="F65">
        <f>IF(20&lt;=B18,E65/B16,"")</f>
        <v/>
      </c>
    </row>
    <row r="66">
      <c r="A66">
        <f>IF(21&lt;=B18,21,"")</f>
        <v/>
      </c>
      <c r="B66">
        <f>IF(21&lt;=B18,(21-1)*B4,"")</f>
        <v/>
      </c>
      <c r="C66">
        <f>IF(21&lt;=B18,1-ABS(2*B66/B13-1),"")</f>
        <v/>
      </c>
      <c r="E66">
        <f>IF(21&lt;=B18,B15+(B14-B15)*C66,"")</f>
        <v/>
      </c>
      <c r="F66">
        <f>IF(21&lt;=B18,E66/B16,"")</f>
        <v/>
      </c>
    </row>
    <row r="67">
      <c r="A67">
        <f>IF(22&lt;=B18,22,"")</f>
        <v/>
      </c>
      <c r="B67">
        <f>IF(22&lt;=B18,(22-1)*B4,"")</f>
        <v/>
      </c>
      <c r="C67">
        <f>IF(22&lt;=B18,1-ABS(2*B67/B13-1),"")</f>
        <v/>
      </c>
      <c r="E67">
        <f>IF(22&lt;=B18,B15+(B14-B15)*C67,"")</f>
        <v/>
      </c>
      <c r="F67">
        <f>IF(22&lt;=B18,E67/B16,"")</f>
        <v/>
      </c>
    </row>
    <row r="68">
      <c r="A68">
        <f>IF(23&lt;=B18,23,"")</f>
        <v/>
      </c>
      <c r="B68">
        <f>IF(23&lt;=B18,(23-1)*B4,"")</f>
        <v/>
      </c>
      <c r="C68">
        <f>IF(23&lt;=B18,1-ABS(2*B68/B13-1),"")</f>
        <v/>
      </c>
      <c r="E68">
        <f>IF(23&lt;=B18,B15+(B14-B15)*C68,"")</f>
        <v/>
      </c>
      <c r="F68">
        <f>IF(23&lt;=B18,E68/B16,"")</f>
        <v/>
      </c>
    </row>
    <row r="69">
      <c r="A69">
        <f>IF(24&lt;=B18,24,"")</f>
        <v/>
      </c>
      <c r="B69">
        <f>IF(24&lt;=B18,(24-1)*B4,"")</f>
        <v/>
      </c>
      <c r="C69">
        <f>IF(24&lt;=B18,1-ABS(2*B69/B13-1),"")</f>
        <v/>
      </c>
      <c r="E69">
        <f>IF(24&lt;=B18,B15+(B14-B15)*C69,"")</f>
        <v/>
      </c>
      <c r="F69">
        <f>IF(24&lt;=B18,E69/B16,"")</f>
        <v/>
      </c>
    </row>
    <row r="70">
      <c r="A70">
        <f>IF(25&lt;=B18,25,"")</f>
        <v/>
      </c>
      <c r="B70">
        <f>IF(25&lt;=B18,(25-1)*B4,"")</f>
        <v/>
      </c>
      <c r="C70">
        <f>IF(25&lt;=B18,1-ABS(2*B70/B13-1),"")</f>
        <v/>
      </c>
      <c r="E70">
        <f>IF(25&lt;=B18,B15+(B14-B15)*C70,"")</f>
        <v/>
      </c>
      <c r="F70">
        <f>IF(25&lt;=B18,E70/B16,"")</f>
        <v/>
      </c>
    </row>
    <row r="71">
      <c r="A71">
        <f>IF(26&lt;=B18,26,"")</f>
        <v/>
      </c>
      <c r="B71">
        <f>IF(26&lt;=B18,(26-1)*B4,"")</f>
        <v/>
      </c>
      <c r="C71">
        <f>IF(26&lt;=B18,1-ABS(2*B71/B13-1),"")</f>
        <v/>
      </c>
      <c r="E71">
        <f>IF(26&lt;=B18,B15+(B14-B15)*C71,"")</f>
        <v/>
      </c>
      <c r="F71">
        <f>IF(26&lt;=B18,E71/B16,"")</f>
        <v/>
      </c>
    </row>
    <row r="72">
      <c r="A72">
        <f>IF(27&lt;=B18,27,"")</f>
        <v/>
      </c>
      <c r="B72">
        <f>IF(27&lt;=B18,(27-1)*B4,"")</f>
        <v/>
      </c>
      <c r="C72">
        <f>IF(27&lt;=B18,1-ABS(2*B72/B13-1),"")</f>
        <v/>
      </c>
      <c r="E72">
        <f>IF(27&lt;=B18,B15+(B14-B15)*C72,"")</f>
        <v/>
      </c>
      <c r="F72">
        <f>IF(27&lt;=B18,E72/B16,"")</f>
        <v/>
      </c>
    </row>
    <row r="73">
      <c r="A73">
        <f>IF(28&lt;=B18,28,"")</f>
        <v/>
      </c>
      <c r="B73">
        <f>IF(28&lt;=B18,(28-1)*B4,"")</f>
        <v/>
      </c>
      <c r="C73">
        <f>IF(28&lt;=B18,1-ABS(2*B73/B13-1),"")</f>
        <v/>
      </c>
      <c r="E73">
        <f>IF(28&lt;=B18,B15+(B14-B15)*C73,"")</f>
        <v/>
      </c>
      <c r="F73">
        <f>IF(28&lt;=B18,E73/B16,"")</f>
        <v/>
      </c>
    </row>
    <row r="74">
      <c r="A74">
        <f>IF(29&lt;=B18,29,"")</f>
        <v/>
      </c>
      <c r="B74">
        <f>IF(29&lt;=B18,(29-1)*B4,"")</f>
        <v/>
      </c>
      <c r="C74">
        <f>IF(29&lt;=B18,1-ABS(2*B74/B13-1),"")</f>
        <v/>
      </c>
      <c r="E74">
        <f>IF(29&lt;=B18,B15+(B14-B15)*C74,"")</f>
        <v/>
      </c>
      <c r="F74">
        <f>IF(29&lt;=B18,E74/B16,"")</f>
        <v/>
      </c>
    </row>
    <row r="75">
      <c r="A75">
        <f>IF(30&lt;=B18,30,"")</f>
        <v/>
      </c>
      <c r="B75">
        <f>IF(30&lt;=B18,(30-1)*B4,"")</f>
        <v/>
      </c>
      <c r="C75">
        <f>IF(30&lt;=B18,1-ABS(2*B75/B13-1),"")</f>
        <v/>
      </c>
      <c r="E75">
        <f>IF(30&lt;=B18,B15+(B14-B15)*C75,"")</f>
        <v/>
      </c>
      <c r="F75">
        <f>IF(30&lt;=B18,E75/B16,"")</f>
        <v/>
      </c>
    </row>
    <row r="77">
      <c r="A77" s="2" t="inlineStr">
        <is>
          <t>ROD TOTALS</t>
        </is>
      </c>
    </row>
    <row r="78">
      <c r="A78" s="3" t="inlineStr">
        <is>
          <t>Total H Rod Length</t>
        </is>
      </c>
      <c r="B78" s="4">
        <f>SUMPRODUCT((F22:F41&lt;&gt;"")*F22:F41)/1000</f>
        <v/>
      </c>
      <c r="C78" s="5" t="inlineStr">
        <is>
          <t>m</t>
        </is>
      </c>
    </row>
    <row r="79">
      <c r="A79" s="3" t="inlineStr">
        <is>
          <t>Total V Rod Length</t>
        </is>
      </c>
      <c r="B79" s="4">
        <f>SUMPRODUCT((F46:F75&lt;&gt;"")*F46:F75)/1000</f>
        <v/>
      </c>
      <c r="C79" s="5" t="inlineStr">
        <is>
          <t>m</t>
        </is>
      </c>
    </row>
    <row r="80">
      <c r="A80" s="3" t="inlineStr">
        <is>
          <t>Total Rod Length</t>
        </is>
      </c>
      <c r="B80" s="4">
        <f>B78+B79</f>
        <v/>
      </c>
      <c r="C80" s="5" t="inlineStr">
        <is>
          <t>m</t>
        </is>
      </c>
    </row>
    <row r="81">
      <c r="A81" s="3" t="inlineStr">
        <is>
          <t>Total Rod Count</t>
        </is>
      </c>
      <c r="B81" s="4">
        <f>B17+B18</f>
        <v/>
      </c>
      <c r="C81" s="5" t="inlineStr">
        <is>
          <t>rods</t>
        </is>
      </c>
    </row>
    <row r="83">
      <c r="A83" s="3" t="inlineStr">
        <is>
          <t>H Rod Cross Section</t>
        </is>
      </c>
      <c r="B83" s="4">
        <f>PI()*(B5/2)^2</f>
        <v/>
      </c>
      <c r="C83" s="5" t="inlineStr">
        <is>
          <t>mm2</t>
        </is>
      </c>
    </row>
    <row r="84">
      <c r="A84" s="3" t="inlineStr">
        <is>
          <t>V Rod Cross Section</t>
        </is>
      </c>
      <c r="B84" s="4">
        <f>PI()*(B6/2)^2</f>
        <v/>
      </c>
      <c r="C84" s="5" t="inlineStr">
        <is>
          <t>mm2</t>
        </is>
      </c>
    </row>
    <row r="85">
      <c r="A85" s="3" t="inlineStr">
        <is>
          <t>H Rod Volume</t>
        </is>
      </c>
      <c r="B85" s="4">
        <f>B83*B78*1000</f>
        <v/>
      </c>
      <c r="C85" s="5" t="inlineStr">
        <is>
          <t>mm3</t>
        </is>
      </c>
      <c r="E85" s="6" t="inlineStr">
        <is>
          <t>cross section x length(m) x 1000</t>
        </is>
      </c>
    </row>
    <row r="86">
      <c r="A86" s="3" t="inlineStr">
        <is>
          <t>V Rod Volume</t>
        </is>
      </c>
      <c r="B86" s="4">
        <f>B84*B79*1000</f>
        <v/>
      </c>
      <c r="C86" s="5" t="inlineStr">
        <is>
          <t>mm3</t>
        </is>
      </c>
    </row>
    <row r="87">
      <c r="A87" s="3" t="inlineStr">
        <is>
          <t>Total Rod Displacement</t>
        </is>
      </c>
      <c r="B87" s="4">
        <f>(B85+B86)/1000000</f>
        <v/>
      </c>
      <c r="C87" s="5" t="inlineStr">
        <is>
          <t>litres</t>
        </is>
      </c>
    </row>
    <row r="89">
      <c r="A89" s="2" t="inlineStr">
        <is>
          <t>COVER ANALYSIS</t>
        </is>
      </c>
    </row>
    <row r="90">
      <c r="A90" s="3" t="inlineStr">
        <is>
          <t>Pour Depth</t>
        </is>
      </c>
      <c r="B90" s="4">
        <f>'Area &amp; Volume'!B36</f>
        <v/>
      </c>
      <c r="C90" s="5" t="inlineStr">
        <is>
          <t>mm</t>
        </is>
      </c>
    </row>
    <row r="91">
      <c r="A91" s="3" t="inlineStr">
        <is>
          <t>Stacked Height</t>
        </is>
      </c>
      <c r="B91" s="4">
        <f>B5+B6</f>
        <v/>
      </c>
      <c r="C91" s="5" t="inlineStr">
        <is>
          <t>mm</t>
        </is>
      </c>
      <c r="E91" s="6" t="inlineStr">
        <is>
          <t>H diam + V diam</t>
        </is>
      </c>
    </row>
    <row r="92">
      <c r="A92" s="3" t="inlineStr">
        <is>
          <t>Stack Cover</t>
        </is>
      </c>
      <c r="B92" s="4">
        <f>(B90-B91)/2</f>
        <v/>
      </c>
      <c r="C92" s="5" t="inlineStr">
        <is>
          <t>mm</t>
        </is>
      </c>
      <c r="E92" s="6" t="inlineStr">
        <is>
          <t>(pourDepth - stacked) / 2</t>
        </is>
      </c>
    </row>
    <row r="93">
      <c r="A93" s="3" t="inlineStr">
        <is>
          <t>Stack Fits?</t>
        </is>
      </c>
      <c r="B93" s="4">
        <f>IF(B92&gt;=B8,"YES","NO")</f>
        <v/>
      </c>
      <c r="E93" s="6" t="inlineStr">
        <is>
          <t>&gt;= min cover</t>
        </is>
      </c>
    </row>
    <row r="94">
      <c r="A94" s="3" t="inlineStr">
        <is>
          <t>Min Thickness for Stack</t>
        </is>
      </c>
      <c r="B94" s="4">
        <f>B91+B8*2+'Area &amp; Volume'!B9</f>
        <v/>
      </c>
      <c r="C94" s="5" t="inlineStr">
        <is>
          <t>mm</t>
        </is>
      </c>
    </row>
  </sheetData>
  <mergeCells count="7">
    <mergeCell ref="A89:G89"/>
    <mergeCell ref="A44:G44"/>
    <mergeCell ref="A1:G1"/>
    <mergeCell ref="A10:E10"/>
    <mergeCell ref="A77:G77"/>
    <mergeCell ref="A20:G20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8" customWidth="1" min="3" max="3"/>
    <col width="4" customWidth="1" min="4" max="4"/>
    <col width="36" customWidth="1" min="5" max="5"/>
  </cols>
  <sheetData>
    <row r="1">
      <c r="A1" s="1" t="inlineStr">
        <is>
          <t>Mix Calculator</t>
        </is>
      </c>
    </row>
    <row r="3">
      <c r="A3" s="2" t="inlineStr">
        <is>
          <t>MIX INPUTS</t>
        </is>
      </c>
    </row>
    <row r="4">
      <c r="A4" s="3" t="inlineStr">
        <is>
          <t>Batch Weight</t>
        </is>
      </c>
      <c r="B4" s="4" t="n">
        <v>1000</v>
      </c>
      <c r="C4" s="5" t="inlineStr">
        <is>
          <t>g</t>
        </is>
      </c>
    </row>
    <row r="5">
      <c r="A5" s="3" t="inlineStr">
        <is>
          <t>Catalyst %</t>
        </is>
      </c>
      <c r="B5" s="4" t="n">
        <v>1.5</v>
      </c>
      <c r="C5" s="5" t="inlineStr">
        <is>
          <t>% of resin</t>
        </is>
      </c>
    </row>
    <row r="7">
      <c r="A7" s="2" t="inlineStr">
        <is>
          <t>MIX FRACTIONS</t>
        </is>
      </c>
    </row>
    <row r="8">
      <c r="A8" s="3" t="inlineStr">
        <is>
          <t>Resin Fraction</t>
        </is>
      </c>
      <c r="B8" s="4" t="n">
        <v>0.58</v>
      </c>
      <c r="E8" s="6" t="inlineStr">
        <is>
          <t>58%</t>
        </is>
      </c>
    </row>
    <row r="9">
      <c r="A9" s="3" t="inlineStr">
        <is>
          <t>Talc Fraction</t>
        </is>
      </c>
      <c r="B9" s="4" t="n">
        <v>0.3</v>
      </c>
      <c r="E9" s="6" t="inlineStr">
        <is>
          <t>30%</t>
        </is>
      </c>
    </row>
    <row r="10">
      <c r="A10" s="3" t="inlineStr">
        <is>
          <t>Glass Fraction</t>
        </is>
      </c>
      <c r="B10" s="4" t="n">
        <v>0.1</v>
      </c>
      <c r="E10" s="6" t="inlineStr">
        <is>
          <t>10%</t>
        </is>
      </c>
    </row>
    <row r="11">
      <c r="A11" s="3" t="inlineStr">
        <is>
          <t>Catalyst+Retarder Frac</t>
        </is>
      </c>
      <c r="B11" s="4" t="n">
        <v>0.02</v>
      </c>
      <c r="E11" s="6" t="inlineStr">
        <is>
          <t>2%</t>
        </is>
      </c>
    </row>
    <row r="13">
      <c r="A13" s="2" t="inlineStr">
        <is>
          <t>MIX WEIGHTS</t>
        </is>
      </c>
    </row>
    <row r="14">
      <c r="A14" s="3" t="inlineStr">
        <is>
          <t>Resin Mass</t>
        </is>
      </c>
      <c r="B14" s="4">
        <f>B4*B8</f>
        <v/>
      </c>
      <c r="C14" s="5" t="inlineStr">
        <is>
          <t>g</t>
        </is>
      </c>
    </row>
    <row r="15">
      <c r="A15" s="3" t="inlineStr">
        <is>
          <t>Talc Mass</t>
        </is>
      </c>
      <c r="B15" s="4">
        <f>B4*B9</f>
        <v/>
      </c>
      <c r="C15" s="5" t="inlineStr">
        <is>
          <t>g</t>
        </is>
      </c>
    </row>
    <row r="16">
      <c r="A16" s="3" t="inlineStr">
        <is>
          <t>Glass Mass</t>
        </is>
      </c>
      <c r="B16" s="4">
        <f>B4*B10</f>
        <v/>
      </c>
      <c r="C16" s="5" t="inlineStr">
        <is>
          <t>g</t>
        </is>
      </c>
    </row>
    <row r="17">
      <c r="A17" s="3" t="inlineStr">
        <is>
          <t>Catalyst Mass</t>
        </is>
      </c>
      <c r="B17" s="4">
        <f>B14*B5/100</f>
        <v/>
      </c>
      <c r="C17" s="5" t="inlineStr">
        <is>
          <t>g</t>
        </is>
      </c>
      <c r="E17" s="6">
        <f> resinMass x catalyst%</f>
        <v/>
      </c>
    </row>
    <row r="18">
      <c r="A18" s="3" t="inlineStr">
        <is>
          <t>Retarder Mass</t>
        </is>
      </c>
      <c r="B18" s="4">
        <f>B14*0.00025</f>
        <v/>
      </c>
      <c r="C18" s="5" t="inlineStr">
        <is>
          <t>g</t>
        </is>
      </c>
      <c r="E18" s="6" t="inlineStr">
        <is>
          <t>0.025% of resin</t>
        </is>
      </c>
    </row>
    <row r="19">
      <c r="A19" s="3" t="inlineStr">
        <is>
          <t>Retarder (grams)</t>
        </is>
      </c>
      <c r="B19" s="4">
        <f>B18</f>
        <v/>
      </c>
      <c r="C19" s="5" t="inlineStr">
        <is>
          <t>g</t>
        </is>
      </c>
    </row>
    <row r="21">
      <c r="A21" s="2" t="inlineStr">
        <is>
          <t>CATALYST OPTIONS</t>
        </is>
      </c>
    </row>
    <row r="22">
      <c r="A22" s="3" t="inlineStr">
        <is>
          <t>1.2% (hot &gt;26C)</t>
        </is>
      </c>
      <c r="B22" s="4">
        <f>B14*0.012</f>
        <v/>
      </c>
      <c r="C22" s="5" t="inlineStr">
        <is>
          <t>g</t>
        </is>
      </c>
    </row>
    <row r="23">
      <c r="A23" s="3" t="inlineStr">
        <is>
          <t>1.5% (normal 18-26C)</t>
        </is>
      </c>
      <c r="B23" s="4">
        <f>B14*0.015</f>
        <v/>
      </c>
      <c r="C23" s="5" t="inlineStr">
        <is>
          <t>g</t>
        </is>
      </c>
    </row>
    <row r="24">
      <c r="A24" s="3" t="inlineStr">
        <is>
          <t>2.0% (cold &lt;18C)</t>
        </is>
      </c>
      <c r="B24" s="4">
        <f>B14*0.020</f>
        <v/>
      </c>
      <c r="C24" s="5" t="inlineStr">
        <is>
          <t>g</t>
        </is>
      </c>
    </row>
    <row r="26">
      <c r="A26" s="2" t="inlineStr">
        <is>
          <t>POUR REQUIREMENTS</t>
        </is>
      </c>
    </row>
    <row r="27">
      <c r="A27" s="3" t="inlineStr">
        <is>
          <t>Cavity Volume</t>
        </is>
      </c>
      <c r="B27" s="4">
        <f>'Area &amp; Volume'!B28</f>
        <v/>
      </c>
      <c r="C27" s="5" t="inlineStr">
        <is>
          <t>litres</t>
        </is>
      </c>
    </row>
    <row r="28">
      <c r="A28" s="3" t="inlineStr">
        <is>
          <t>Rod Displacement</t>
        </is>
      </c>
      <c r="B28" s="4">
        <f>'Area &amp; Volume'!B29</f>
        <v/>
      </c>
      <c r="C28" s="5" t="inlineStr">
        <is>
          <t>litres</t>
        </is>
      </c>
    </row>
    <row r="29">
      <c r="A29" s="3" t="inlineStr">
        <is>
          <t>Pour Volume Needed</t>
        </is>
      </c>
      <c r="B29" s="4">
        <f>'Area &amp; Volume'!B30</f>
        <v/>
      </c>
      <c r="C29" s="5" t="inlineStr">
        <is>
          <t>litres</t>
        </is>
      </c>
    </row>
    <row r="30">
      <c r="A30" s="3" t="inlineStr">
        <is>
          <t>Pour Weight</t>
        </is>
      </c>
      <c r="B30" s="4">
        <f>B29*'Area &amp; Volume'!B14/1000</f>
        <v/>
      </c>
      <c r="C30" s="5" t="inlineStr">
        <is>
          <t>kg</t>
        </is>
      </c>
      <c r="E30" s="6">
        <f> litres x density</f>
        <v/>
      </c>
    </row>
  </sheetData>
  <mergeCells count="6">
    <mergeCell ref="A21:E21"/>
    <mergeCell ref="A26:E26"/>
    <mergeCell ref="A7:E7"/>
    <mergeCell ref="A1:E1"/>
    <mergeCell ref="A13:E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</cols>
  <sheetData>
    <row r="1">
      <c r="A1" s="1" t="inlineStr">
        <is>
          <t>Calculation Formulas Reference</t>
        </is>
      </c>
    </row>
    <row r="3">
      <c r="A3" s="7" t="inlineStr">
        <is>
          <t>Slope Height</t>
        </is>
      </c>
      <c r="B3" s="9" t="inlineStr">
        <is>
          <t>Vertical Height / cos(Rake Angle)</t>
        </is>
      </c>
    </row>
    <row r="4">
      <c r="A4" s="7" t="inlineStr">
        <is>
          <t>Gross Area (pentagon)</t>
        </is>
      </c>
      <c r="B4" s="9" t="inlineStr">
        <is>
          <t>Width x (Centre Slope H + Side Slope H) / 2</t>
        </is>
      </c>
    </row>
    <row r="5">
      <c r="A5" s="7" t="inlineStr">
        <is>
          <t>Net Area</t>
        </is>
      </c>
      <c r="B5" s="9" t="inlineStr">
        <is>
          <t>Gross Area - Cutout Area</t>
        </is>
      </c>
    </row>
    <row r="6">
      <c r="A6" s="7" t="inlineStr">
        <is>
          <t>Cavity Volume</t>
        </is>
      </c>
      <c r="B6" s="9" t="inlineStr">
        <is>
          <t>Net Area (m2) x Thickness (mm) = litres</t>
        </is>
      </c>
    </row>
    <row r="7">
      <c r="A7" s="7" t="inlineStr">
        <is>
          <t>Pour Volume</t>
        </is>
      </c>
      <c r="B7" s="9" t="inlineStr">
        <is>
          <t>Cavity Volume - Rod Displacement</t>
        </is>
      </c>
    </row>
    <row r="8">
      <c r="A8" s="10" t="inlineStr"/>
      <c r="B8" s="9" t="inlineStr"/>
    </row>
    <row r="9">
      <c r="A9" s="7" t="inlineStr">
        <is>
          <t>H Rod Count</t>
        </is>
      </c>
      <c r="B9" s="9" t="inlineStr">
        <is>
          <t>floor(Centre Slope Height / Spacing) + 1</t>
        </is>
      </c>
    </row>
    <row r="10">
      <c r="A10" s="7" t="inlineStr">
        <is>
          <t>H Rod Length (rect zone)</t>
        </is>
      </c>
      <c r="B10" s="9" t="inlineStr">
        <is>
          <t>Width - 30mm  (where vertY &lt;= sideHeight)</t>
        </is>
      </c>
    </row>
    <row r="11">
      <c r="A11" s="7" t="inlineStr">
        <is>
          <t>H Rod Length (tri zone)</t>
        </is>
      </c>
      <c r="B11" s="9" t="inlineStr">
        <is>
          <t>Width x (centreH - vertY)/(centreH - sideH) - 30mm</t>
        </is>
      </c>
    </row>
    <row r="12">
      <c r="A12" s="10" t="inlineStr"/>
      <c r="B12" s="9" t="inlineStr"/>
    </row>
    <row r="13">
      <c r="A13" s="7" t="inlineStr">
        <is>
          <t>V Rod Count</t>
        </is>
      </c>
      <c r="B13" s="9" t="inlineStr">
        <is>
          <t>floor(Width / Spacing) + 1</t>
        </is>
      </c>
    </row>
    <row r="14">
      <c r="A14" s="7" t="inlineStr">
        <is>
          <t>V Rod Height at x</t>
        </is>
      </c>
      <c r="B14" s="9" t="inlineStr">
        <is>
          <t>sideH + (centreH - sideH) x (1 - |2x/W - 1|)</t>
        </is>
      </c>
    </row>
    <row r="15">
      <c r="A15" s="7" t="inlineStr">
        <is>
          <t>V Rod Slope Length</t>
        </is>
      </c>
      <c r="B15" s="9" t="inlineStr">
        <is>
          <t>Height at x / cos(Rake Angle)</t>
        </is>
      </c>
    </row>
    <row r="16">
      <c r="A16" s="10" t="inlineStr"/>
      <c r="B16" s="9" t="inlineStr"/>
    </row>
    <row r="17">
      <c r="A17" s="7" t="inlineStr">
        <is>
          <t>Rod Displacement</t>
        </is>
      </c>
      <c r="B17" s="9" t="inlineStr">
        <is>
          <t>PI x (d/2)^2 x totalLength</t>
        </is>
      </c>
    </row>
    <row r="18">
      <c r="A18" s="7" t="inlineStr">
        <is>
          <t>Pour Depth</t>
        </is>
      </c>
      <c r="B18" s="9" t="inlineStr">
        <is>
          <t>Thickness - Shell Thickness</t>
        </is>
      </c>
    </row>
    <row r="19">
      <c r="A19" s="7" t="inlineStr">
        <is>
          <t>Stack Cover</t>
        </is>
      </c>
      <c r="B19" s="9" t="inlineStr">
        <is>
          <t>(Pour Depth - H diam - V diam) / 2</t>
        </is>
      </c>
    </row>
    <row r="20">
      <c r="A20" s="7" t="inlineStr">
        <is>
          <t>Min Thickness</t>
        </is>
      </c>
      <c r="B20" s="9" t="inlineStr">
        <is>
          <t>H diam + V diam + 2 x min cover + shell</t>
        </is>
      </c>
    </row>
    <row r="21">
      <c r="A21" s="10" t="inlineStr"/>
      <c r="B21" s="9" t="inlineStr"/>
    </row>
    <row r="22">
      <c r="A22" s="7" t="inlineStr">
        <is>
          <t>Mix: Resin Mass</t>
        </is>
      </c>
      <c r="B22" s="9" t="inlineStr">
        <is>
          <t>Batch Weight x 0.58</t>
        </is>
      </c>
    </row>
    <row r="23">
      <c r="A23" s="7" t="inlineStr">
        <is>
          <t>Mix: Talc Mass</t>
        </is>
      </c>
      <c r="B23" s="9" t="inlineStr">
        <is>
          <t>Batch Weight x 0.30</t>
        </is>
      </c>
    </row>
    <row r="24">
      <c r="A24" s="7" t="inlineStr">
        <is>
          <t>Mix: Glass Mass</t>
        </is>
      </c>
      <c r="B24" s="9" t="inlineStr">
        <is>
          <t>Batch Weight x 0.10</t>
        </is>
      </c>
    </row>
    <row r="25">
      <c r="A25" s="7" t="inlineStr">
        <is>
          <t>Mix: Catalyst</t>
        </is>
      </c>
      <c r="B25" s="9" t="inlineStr">
        <is>
          <t>Resin Mass x catalyst% (applies to RESIN only)</t>
        </is>
      </c>
    </row>
    <row r="26">
      <c r="A26" s="7" t="inlineStr">
        <is>
          <t>Mix: Retarder</t>
        </is>
      </c>
      <c r="B26" s="9" t="inlineStr">
        <is>
          <t>Resin Mass x 0.025%</t>
        </is>
      </c>
    </row>
    <row r="27">
      <c r="A27" s="10" t="inlineStr"/>
      <c r="B27" s="9" t="inlineStr"/>
    </row>
    <row r="28">
      <c r="A28" s="7" t="inlineStr">
        <is>
          <t>Unit: 1 m2 x 1 mm</t>
        </is>
      </c>
      <c r="B28" s="9" t="inlineStr">
        <is>
          <t>1 litre</t>
        </is>
      </c>
    </row>
    <row r="29">
      <c r="A29" s="7" t="inlineStr">
        <is>
          <t>Rod sizing rule of thumb</t>
        </is>
      </c>
      <c r="B29" s="9" t="inlineStr">
        <is>
          <t>(Thickness - Shell) / 3 / 2 = rod diameter per rod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2026-03-04T13:35:06Z</dcterms:created>
  <dcterms:modified xsi:type="dcterms:W3CDTF">2026-03-04T13:35:06Z</dcterms:modified>
</cp:coreProperties>
</file>